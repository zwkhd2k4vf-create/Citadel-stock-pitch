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&gt;&gt;&gt;" sheetId="1" state="visible" r:id="rId3"/>
    <sheet name="Thesis to KPIs" sheetId="2" state="visible" r:id="rId4"/>
    <sheet name="DCF" sheetId="3" state="visible" r:id="rId5"/>
    <sheet name="Model vs Consensus" sheetId="4" state="visible" r:id="rId6"/>
    <sheet name="Bridge Build" sheetId="5" state="visible" r:id="rId7"/>
    <sheet name="Operating Model" sheetId="6" state="visible" r:id="rId8"/>
    <sheet name="Net Yield Build" sheetId="7" state="visible" r:id="rId9"/>
    <sheet name="KPI 1 Price Build" sheetId="8" state="visible" r:id="rId10"/>
    <sheet name="KPI 2 Booking Build" sheetId="9" state="visible" r:id="rId11"/>
    <sheet name="Fleet Build" sheetId="10" state="visible" r:id="rId12"/>
    <sheet name="Fleet Qtr Build" sheetId="11" state="visible" r:id="rId13"/>
    <sheet name="Consensus" sheetId="12" state="visible" r:id="rId14"/>
    <sheet name="Filings&gt;&gt;&gt;" sheetId="13" state="visible" r:id="rId15"/>
    <sheet name="Quarterly (A)" sheetId="14" state="visible" r:id="rId16"/>
    <sheet name="Income (A)" sheetId="15" state="visible" r:id="rId17"/>
    <sheet name="Cash Flow (A)" sheetId="16" state="visible" r:id="rId18"/>
    <sheet name="Balance (A)" sheetId="17" state="visible" r:id="rId19"/>
    <sheet name="Alt Data&gt;&gt;&gt;" sheetId="18" state="visible" r:id="rId20"/>
    <sheet name="Fare Panel" sheetId="19" state="visible" r:id="rId21"/>
    <sheet name="Deposits" sheetId="20" state="visible" r:id="rId22"/>
    <sheet name="Factor &amp; Positioning" sheetId="21" state="visible" r:id="rId23"/>
    <sheet name="Multiple vs Net Yield" sheetId="22" state="visible" r:id="rId24"/>
    <sheet name="Exhibit Data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<sst xmlns="http://schemas.openxmlformats.org/spreadsheetml/2006/main" count="2570" uniqueCount="1074">
  <si>
    <t xml:space="preserve">Norwegian Cruise Line Holdings</t>
  </si>
  <si>
    <t xml:space="preserve">Ticker: NCLH (NYSE)</t>
  </si>
  <si>
    <t xml:space="preserve">Date: 10/2/2026</t>
  </si>
  <si>
    <t xml:space="preserve">Recommendation: Short, 6-12 months</t>
  </si>
  <si>
    <t xml:space="preserve">Key outputs (selected case, DCF!C9)</t>
  </si>
  <si>
    <t xml:space="preserve">Current price</t>
  </si>
  <si>
    <t xml:space="preserve">Value per share, EV / EBITDA</t>
  </si>
  <si>
    <t xml:space="preserve">Probability-weighted value</t>
  </si>
  <si>
    <t xml:space="preserve">Return to probability-weighted value</t>
  </si>
  <si>
    <t xml:space="preserve">DCF cross-check value</t>
  </si>
  <si>
    <t xml:space="preserve">FY2027E net yield growth</t>
  </si>
  <si>
    <t xml:space="preserve">FY2027E Adjusted EBITDA ($mm)</t>
  </si>
  <si>
    <t xml:space="preserve">Street-implied FY2027E EBITDA ($mm)</t>
  </si>
  <si>
    <t xml:space="preserve">FY2027E Adjusted EPS</t>
  </si>
  <si>
    <t xml:space="preserve">Consensus FY2027E EPS (Zacks / Yahoo)</t>
  </si>
  <si>
    <t xml:space="preserve">Price-implied steady-state EBITDA at 9% ($mm)</t>
  </si>
  <si>
    <t xml:space="preserve">EBITDA the average target requires ($mm)</t>
  </si>
  <si>
    <t xml:space="preserve">Sept 30 deposits forecast ($mm)</t>
  </si>
  <si>
    <t xml:space="preserve">KPI 1: 1H27 ticket price y/y, consensus case / ours</t>
  </si>
  <si>
    <t xml:space="preserve">KPI 2: 2027 occupancy, consensus case / ours</t>
  </si>
  <si>
    <t xml:space="preserve">Formatting</t>
  </si>
  <si>
    <t xml:space="preserve">Blue: hard-coded data from filings and public sources</t>
  </si>
  <si>
    <t xml:space="preserve">Blue on gray: forecast assumptions and drivers</t>
  </si>
  <si>
    <t xml:space="preserve">Black: formulas</t>
  </si>
  <si>
    <t xml:space="preserve">Green: links to other sheets</t>
  </si>
  <si>
    <t xml:space="preserve">Sheets</t>
  </si>
  <si>
    <t xml:space="preserve">Thesis to KPIs</t>
  </si>
  <si>
    <t xml:space="preserve">Start here: data -&gt; KPI -&gt; model -&gt; consensus, with dated checks</t>
  </si>
  <si>
    <t xml:space="preserve">DCF</t>
  </si>
  <si>
    <t xml:space="preserve">Valuation: case switch (C9), WACC, reverse DCF, EV/EBITDA, DCF cross-check, scenarios, sensitivity</t>
  </si>
  <si>
    <t xml:space="preserve">Model vs Consensus / Bridge Build</t>
  </si>
  <si>
    <t xml:space="preserve">Model vs. consensus; live 2027 EBITDA bridge, one step per KPI</t>
  </si>
  <si>
    <t xml:space="preserve">Operating Model</t>
  </si>
  <si>
    <t xml:space="preserve">Annual model FY2024A-FY2030E: capacity, net yield, revenue, costs, P&amp;L, cash flow, ROIC</t>
  </si>
  <si>
    <t xml:space="preserve">Net Yield Build</t>
  </si>
  <si>
    <t xml:space="preserve">Quarterly net yield for the three cases; KPI rows 24 / 51 / 78 (price) and 13 / 40 / 67 (occupancy)</t>
  </si>
  <si>
    <t xml:space="preserve">KPI 1 Price Build</t>
  </si>
  <si>
    <t xml:space="preserve">Thesis 1: fare cuts on unsold cabins by brand and region -&gt; ticket price per passenger day</t>
  </si>
  <si>
    <t xml:space="preserve">KPI 2 Booking Build</t>
  </si>
  <si>
    <t xml:space="preserve">Thesis 2: booking shortfall from deposits -&gt; occupancy and late discounts; price-guarantee claims</t>
  </si>
  <si>
    <t xml:space="preserve">Fleet Build / Fleet Qtr Build</t>
  </si>
  <si>
    <t xml:space="preserve">Ship-level berths; ship x quarter capacity days (504 rows) for quarterly capacity growth</t>
  </si>
  <si>
    <t xml:space="preserve">Consensus</t>
  </si>
  <si>
    <t xml:space="preserve">Annual and quarterly consensus, ratings, targets, guidance, decoding the target</t>
  </si>
  <si>
    <t xml:space="preserve">Quarterly (A) / Income / Cash Flow / Balance</t>
  </si>
  <si>
    <t xml:space="preserve">Historical results: 8-K releases and SEC XBRL</t>
  </si>
  <si>
    <t xml:space="preserve">Fare Panel / Deposits</t>
  </si>
  <si>
    <t xml:space="preserve">Raw fare panel (4,783 itineraries, summarized) and the deposit indicator (back-test, peers, Nov 4 forecast)</t>
  </si>
  <si>
    <t xml:space="preserve">Factor &amp; Positioning / Multiple vs Net Yield</t>
  </si>
  <si>
    <t xml:space="preserve">Return decomposition, news days, oil test, short interest; multiple vs. net yield</t>
  </si>
  <si>
    <t xml:space="preserve">Exhibit Data</t>
  </si>
  <si>
    <t xml:space="preserve">Data behind the memo charts</t>
  </si>
  <si>
    <t xml:space="preserve">Thesis to KPIs: what the alternative data shows, which model inputs it moves, and where we differ from consensus</t>
  </si>
  <si>
    <t xml:space="preserve">Net yield = occupancy x net revenue per passenger day. Our base case differs from the consensus case on two KPIs: ticket price per passenger day (KPI 1) and occupancy (KPI 2). Onboard spend, unit costs and fuel also differ; they are listed separately.</t>
  </si>
  <si>
    <t xml:space="preserve">A. FY2027: consensus case vs. our base case</t>
  </si>
  <si>
    <t xml:space="preserve">Consensus case</t>
  </si>
  <si>
    <t xml:space="preserve">Base case</t>
  </si>
  <si>
    <t xml:space="preserve">Difference</t>
  </si>
  <si>
    <t xml:space="preserve">Occupancy</t>
  </si>
  <si>
    <t xml:space="preserve">KPI 1 input: ticket revenue per passenger day ($)</t>
  </si>
  <si>
    <t xml:space="preserve">Onboard revenue per passenger day ($)</t>
  </si>
  <si>
    <t xml:space="preserve">Net revenue per passenger day ($)</t>
  </si>
  <si>
    <t xml:space="preserve">Net yield ($ per capacity day)</t>
  </si>
  <si>
    <t xml:space="preserve">Net yield growth y/y</t>
  </si>
  <si>
    <t xml:space="preserve">Adjusted EBITDA ($mm)</t>
  </si>
  <si>
    <t xml:space="preserve">B. The two KPIs by quarter</t>
  </si>
  <si>
    <t xml:space="preserve">3Q26E</t>
  </si>
  <si>
    <t xml:space="preserve">4Q26E</t>
  </si>
  <si>
    <t xml:space="preserve">1Q27E</t>
  </si>
  <si>
    <t xml:space="preserve">2Q27E</t>
  </si>
  <si>
    <t xml:space="preserve">3Q27E</t>
  </si>
  <si>
    <t xml:space="preserve">4Q27E</t>
  </si>
  <si>
    <t xml:space="preserve">KPI 1: like-for-like ticket price y/y, consensus case</t>
  </si>
  <si>
    <t xml:space="preserve">KPI 1: ours</t>
  </si>
  <si>
    <t xml:space="preserve">   of which Thesis 1 (fare cuts on unsold cabins)</t>
  </si>
  <si>
    <t xml:space="preserve">   of which Thesis 2 (late discounts on the shortfall)</t>
  </si>
  <si>
    <t xml:space="preserve">KPI 2: occupancy change y/y (pts), consensus case</t>
  </si>
  <si>
    <t xml:space="preserve">KPI 2: ours</t>
  </si>
  <si>
    <t xml:space="preserve">Net yield y/y, consensus case</t>
  </si>
  <si>
    <t xml:space="preserve">Net yield y/y, ours</t>
  </si>
  <si>
    <t xml:space="preserve">C. Each thesis, from the data to the model</t>
  </si>
  <si>
    <t xml:space="preserve">Thesis</t>
  </si>
  <si>
    <t xml:space="preserve">What the data shows</t>
  </si>
  <si>
    <t xml:space="preserve">What it implies</t>
  </si>
  <si>
    <t xml:space="preserve">KPI it moves</t>
  </si>
  <si>
    <t xml:space="preserve">Ours</t>
  </si>
  <si>
    <t xml:space="preserve">2027 EBITDA ($mm)</t>
  </si>
  <si>
    <t xml:space="preserve">Thesis 1: NCL is cutting price to fill Caribbean ships because it is losing share there</t>
  </si>
  <si>
    <t xml:space="preserve">Cuts hit the cabins NCL still has to sell for 1H27</t>
  </si>
  <si>
    <t xml:space="preserve">KPI 1: 1H27 ticket price</t>
  </si>
  <si>
    <t xml:space="preserve">Thesis 2: the price guarantee keeps guests from booking early</t>
  </si>
  <si>
    <t xml:space="preserve">A booking shortfall NCL fills late at a discount</t>
  </si>
  <si>
    <t xml:space="preserve">KPI 1: 2H27 ticket price</t>
  </si>
  <si>
    <t xml:space="preserve">Thesis 2 (continued)</t>
  </si>
  <si>
    <t xml:space="preserve">Part of the shortfall sails empty</t>
  </si>
  <si>
    <t xml:space="preserve">KPI 2: 2027 occupancy</t>
  </si>
  <si>
    <t xml:space="preserve">Other differences (not part of either thesis)</t>
  </si>
  <si>
    <t xml:space="preserve">Onboard spend growth per passenger day, 2027</t>
  </si>
  <si>
    <t xml:space="preserve">2025: -0.3%; 1H26: +1.0% (Quarterly (A))</t>
  </si>
  <si>
    <t xml:space="preserve">Unit costs ex fuel per capacity day, 2027 y/y</t>
  </si>
  <si>
    <t xml:space="preserve">1H26 about flat; 3Q26 guide -0.9%; $225M savings plan</t>
  </si>
  <si>
    <t xml:space="preserve">Fuel price per ton, net of hedges ($)</t>
  </si>
  <si>
    <t xml:space="preserve">2026 guide $780; Brent +63% y/y</t>
  </si>
  <si>
    <t xml:space="preserve">Unit costs and fuel share one bridge step (Model vs Consensus row 30).</t>
  </si>
  <si>
    <t xml:space="preserve">D. What each KPI is worth (base case, 2027)</t>
  </si>
  <si>
    <t xml:space="preserve">1 pt of ticket price per passenger day: EBITDA ($mm)</t>
  </si>
  <si>
    <t xml:space="preserve">per share:</t>
  </si>
  <si>
    <t xml:space="preserve">1 pt of occupancy: EBITDA ($mm)</t>
  </si>
  <si>
    <t xml:space="preserve">Value per share of $1M of 2027 EBITDA (at today's multiple)</t>
  </si>
  <si>
    <t xml:space="preserve">Value per share on the two theses alone (consensus-case onboard, costs and fuel)</t>
  </si>
  <si>
    <t xml:space="preserve">E. Dated checks: when each KPI gets tested</t>
  </si>
  <si>
    <t xml:space="preserve">Nov 4, 2026: 3Q26 10-Q</t>
  </si>
  <si>
    <t xml:space="preserve">Sept 30 advance ticket sales vs. our $2.94B (KPI 2 shortfall)</t>
  </si>
  <si>
    <t xml:space="preserve">Late Feb 2027: first 2027 guide</t>
  </si>
  <si>
    <t xml:space="preserve">Net yield guide vs. the consensus case (KPI 1 and KPI 2)</t>
  </si>
  <si>
    <t xml:space="preserve">Monthly: fare panel re-run</t>
  </si>
  <si>
    <t xml:space="preserve">1H27 Caribbean cuts on unsold cabins (KPI 1)</t>
  </si>
  <si>
    <t xml:space="preserve">Cuts back near peers would undo Thesis 1</t>
  </si>
  <si>
    <t xml:space="preserve">May 2027: 1Q27 results</t>
  </si>
  <si>
    <t xml:space="preserve">Reported ticket revenue per passenger day and occupancy</t>
  </si>
  <si>
    <t xml:space="preserve">Green = links; black = formulas. Every number on this sheet comes from the KPI builds, the Net Yield Build or the DCF.</t>
  </si>
  <si>
    <t xml:space="preserve">Current Price</t>
  </si>
  <si>
    <t xml:space="preserve">Valuation</t>
  </si>
  <si>
    <t xml:space="preserve">$mm except per-share data</t>
  </si>
  <si>
    <t xml:space="preserve">Case Selection</t>
  </si>
  <si>
    <t xml:space="preserve">Selected Case</t>
  </si>
  <si>
    <t xml:space="preserve">Bull case (Street-like)</t>
  </si>
  <si>
    <t xml:space="preserve">Base case (our view)</t>
  </si>
  <si>
    <t xml:space="preserve">Bear case</t>
  </si>
  <si>
    <t xml:space="preserve">Market data</t>
  </si>
  <si>
    <t xml:space="preserve">WACC</t>
  </si>
  <si>
    <t xml:space="preserve">Share price</t>
  </si>
  <si>
    <t xml:space="preserve">Risk-free rate (10-year Treasury)</t>
  </si>
  <si>
    <t xml:space="preserve">Basic shares outstanding (M)</t>
  </si>
  <si>
    <t xml:space="preserve">Beta (levered)</t>
  </si>
  <si>
    <t xml:space="preserve">Market capitalization</t>
  </si>
  <si>
    <t xml:space="preserve">Equity risk premium</t>
  </si>
  <si>
    <t xml:space="preserve">Net debt (Jun 30, 2026)</t>
  </si>
  <si>
    <t xml:space="preserve">Cost of equity</t>
  </si>
  <si>
    <t xml:space="preserve">Enterprise value</t>
  </si>
  <si>
    <t xml:space="preserve">Pre-tax cost of debt</t>
  </si>
  <si>
    <t xml:space="preserve">Net debt at YE2026E (model, selected case)</t>
  </si>
  <si>
    <t xml:space="preserve">Tax rate</t>
  </si>
  <si>
    <t xml:space="preserve">Net debt at YE2026E used in valuation</t>
  </si>
  <si>
    <t xml:space="preserve">Equity weight</t>
  </si>
  <si>
    <t xml:space="preserve">Forward EV (market cap + YE2026E net debt)</t>
  </si>
  <si>
    <t xml:space="preserve">Debt weight</t>
  </si>
  <si>
    <t xml:space="preserve">Street-implied FY2027E EBITDA</t>
  </si>
  <si>
    <t xml:space="preserve">Market EV / FY2027E EBITDA (Street)</t>
  </si>
  <si>
    <t xml:space="preserve">Price-implied expectations (reverse DCF)</t>
  </si>
  <si>
    <t xml:space="preserve">Primary valuation: EV / FY2027E EBITDA</t>
  </si>
  <si>
    <t xml:space="preserve">Cost of capital</t>
  </si>
  <si>
    <t xml:space="preserve">FY2027E Adjusted EBITDA (selected case)</t>
  </si>
  <si>
    <t xml:space="preserve">Enterprise value (today)</t>
  </si>
  <si>
    <t xml:space="preserve">Target EV / EBITDA</t>
  </si>
  <si>
    <t xml:space="preserve">(+) Steady-state D&amp;A (2026E guide)</t>
  </si>
  <si>
    <t xml:space="preserve">Implied enterprise value</t>
  </si>
  <si>
    <t xml:space="preserve">Implied steady-state EBITDA</t>
  </si>
  <si>
    <t xml:space="preserve">(-) Net debt at YE2026E</t>
  </si>
  <si>
    <t xml:space="preserve">2026E EBITDA (model)</t>
  </si>
  <si>
    <t xml:space="preserve">Equity value</t>
  </si>
  <si>
    <t xml:space="preserve">Implied EBITDA vs 2026E</t>
  </si>
  <si>
    <t xml:space="preserve">Diluted shares (M)</t>
  </si>
  <si>
    <t xml:space="preserve">Implied net yield rebuild vs 2026E (constant unit costs)</t>
  </si>
  <si>
    <t xml:space="preserve">Implied value per share</t>
  </si>
  <si>
    <t xml:space="preserve">Implied net yield vs 2025A peak</t>
  </si>
  <si>
    <t xml:space="preserve">Return vs current price</t>
  </si>
  <si>
    <t xml:space="preserve">Memo: March 2026 company guide for 2026 EBITDA</t>
  </si>
  <si>
    <t xml:space="preserve">Bull-case EV / EBITDA (re-rating)</t>
  </si>
  <si>
    <t xml:space="preserve">DCF cross-check (value at YE2026)</t>
  </si>
  <si>
    <t xml:space="preserve">Scenario summary (all cases live)</t>
  </si>
  <si>
    <t xml:space="preserve">PV of unlevered FCF, 2027E-2030E</t>
  </si>
  <si>
    <t xml:space="preserve">Case</t>
  </si>
  <si>
    <t xml:space="preserve">Prob.</t>
  </si>
  <si>
    <t xml:space="preserve">FY27 net yield</t>
  </si>
  <si>
    <t xml:space="preserve">FY27 EBITDA</t>
  </si>
  <si>
    <t xml:space="preserve">EV/EBITDA</t>
  </si>
  <si>
    <t xml:space="preserve">Value</t>
  </si>
  <si>
    <t xml:space="preserve">2030E EBITDA</t>
  </si>
  <si>
    <t xml:space="preserve">Bull</t>
  </si>
  <si>
    <t xml:space="preserve">Exit EV / EBITDA (today's market multiple)</t>
  </si>
  <si>
    <t xml:space="preserve">Base</t>
  </si>
  <si>
    <t xml:space="preserve">Terminal value</t>
  </si>
  <si>
    <t xml:space="preserve">Bear</t>
  </si>
  <si>
    <t xml:space="preserve">PV of terminal value</t>
  </si>
  <si>
    <t xml:space="preserve">Probability-weighted</t>
  </si>
  <si>
    <t xml:space="preserve">Value per share (floored at zero)</t>
  </si>
  <si>
    <t xml:space="preserve">Sensitivity: value per share vs FY2027E net yield growth and EV/EBITDA (selected-case costs)</t>
  </si>
  <si>
    <t xml:space="preserve">Net yield growth \ multiple</t>
  </si>
  <si>
    <t xml:space="preserve">Model vs. consensus (selected case, DCF!C9)</t>
  </si>
  <si>
    <t xml:space="preserve">Model</t>
  </si>
  <si>
    <t xml:space="preserve">Difference (%)</t>
  </si>
  <si>
    <t xml:space="preserve">FY2026E revenue ($mm)</t>
  </si>
  <si>
    <t xml:space="preserve">FY2027E revenue ($mm)</t>
  </si>
  <si>
    <t xml:space="preserve">FY2026E Adjusted EPS (vs. Zacks)</t>
  </si>
  <si>
    <t xml:space="preserve">FY2027E Adjusted EPS (vs. Zacks)</t>
  </si>
  <si>
    <t xml:space="preserve">FY2027E Adjusted EPS (vs. Yahoo)</t>
  </si>
  <si>
    <t xml:space="preserve">FY2027E net yield growth (vs. consensus case)</t>
  </si>
  <si>
    <t xml:space="preserve">Adjusted EPS by quarter: model vs. Nasdaq/Zacks consensus</t>
  </si>
  <si>
    <t xml:space="preserve">Quarter</t>
  </si>
  <si>
    <t xml:space="preserve">3Q26</t>
  </si>
  <si>
    <t xml:space="preserve">4Q26</t>
  </si>
  <si>
    <t xml:space="preserve">1Q27</t>
  </si>
  <si>
    <t xml:space="preserve">2Q27</t>
  </si>
  <si>
    <t xml:space="preserve">3Q27</t>
  </si>
  <si>
    <t xml:space="preserve">4Q27</t>
  </si>
  <si>
    <t xml:space="preserve">2027 Adjusted EBITDA bridge: consensus case to model base case (Bridge Build)</t>
  </si>
  <si>
    <t xml:space="preserve">Step</t>
  </si>
  <si>
    <t xml:space="preserve">$mm</t>
  </si>
  <si>
    <t xml:space="preserve">Consensus case (bull inputs)</t>
  </si>
  <si>
    <t xml:space="preserve">2H26 exit rate</t>
  </si>
  <si>
    <t xml:space="preserve">Thesis 1 -&gt; KPI 1: fare cuts on unsold cabins (1H27)</t>
  </si>
  <si>
    <t xml:space="preserve">Thesis 2 -&gt; KPI 1: late discounts on the booking shortfall (2H27)</t>
  </si>
  <si>
    <t xml:space="preserve">Thesis 2 -&gt; KPI 2: occupancy</t>
  </si>
  <si>
    <t xml:space="preserve">Other: onboard spend growth</t>
  </si>
  <si>
    <t xml:space="preserve">Other: unit costs and fuel</t>
  </si>
  <si>
    <t xml:space="preserve">Model base case</t>
  </si>
  <si>
    <t xml:space="preserve">Check: steps sum to the difference</t>
  </si>
  <si>
    <t xml:space="preserve">Bridge Build: 2027 EBITDA from the consensus case to our base case, one KPI at a time</t>
  </si>
  <si>
    <t xml:space="preserve">Each block reruns the quarterly net yield with one more group of base-case inputs switched on, in order. The change between blocks is the EBITDA attributable to that group. The last step must equal DCF!E42 (checks in row 13).</t>
  </si>
  <si>
    <t xml:space="preserve">2027 EBITDA</t>
  </si>
  <si>
    <t xml:space="preserve">Change</t>
  </si>
  <si>
    <t xml:space="preserve">2H26 exit (3Q-4Q26 inputs)</t>
  </si>
  <si>
    <t xml:space="preserve">Thesis 1 -&gt; KPI 1: fare cuts on unsold cabins</t>
  </si>
  <si>
    <t xml:space="preserve">Thesis 2 -&gt; KPI 1: late discounts on the shortfall</t>
  </si>
  <si>
    <t xml:space="preserve">Checks: block 0 = DCF!E41, final = DCF!E42 (both should be 0)</t>
  </si>
  <si>
    <t xml:space="preserve">Block 0: Consensus case (bull inputs)</t>
  </si>
  <si>
    <t xml:space="preserve">FY2027E</t>
  </si>
  <si>
    <t xml:space="preserve">Occupancy change y/y (pts)</t>
  </si>
  <si>
    <t xml:space="preserve">Like-for-like ticket price change + mix</t>
  </si>
  <si>
    <t xml:space="preserve">Ticket revenue per passenger day ($)</t>
  </si>
  <si>
    <t xml:space="preserve">Adjusted gross margin ($mm)</t>
  </si>
  <si>
    <t xml:space="preserve">Block 1: 2H26 exit (3Q-4Q26 inputs)</t>
  </si>
  <si>
    <t xml:space="preserve">Block 2: Thesis 1 -&gt; KPI 1: fare cuts on unsold cabins</t>
  </si>
  <si>
    <t xml:space="preserve">Block 3: Thesis 2 -&gt; KPI 1: late discounts on the shortfall</t>
  </si>
  <si>
    <t xml:space="preserve">Block 4: Thesis 2 -&gt; KPI 2: occupancy</t>
  </si>
  <si>
    <t xml:space="preserve">Block 5: Other: onboard spend growth</t>
  </si>
  <si>
    <t xml:space="preserve">NCLH Operating Model</t>
  </si>
  <si>
    <t xml:space="preserve">FY2024A</t>
  </si>
  <si>
    <t xml:space="preserve">FY2025A</t>
  </si>
  <si>
    <t xml:space="preserve">FY2026E</t>
  </si>
  <si>
    <t xml:space="preserve">FY2028E</t>
  </si>
  <si>
    <t xml:space="preserve">FY2029E</t>
  </si>
  <si>
    <t xml:space="preserve">FY2030E</t>
  </si>
  <si>
    <t xml:space="preserve">$mm except per-share and per-day data</t>
  </si>
  <si>
    <t xml:space="preserve">2024-12-31</t>
  </si>
  <si>
    <t xml:space="preserve">2025-12-31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</si>
  <si>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</si>
  <si>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</si>
  <si>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</si>
  <si>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</si>
  <si>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</si>
  <si>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t xml:space="preserve">Case inputs (selected by DCF!C9)</t>
  </si>
  <si>
    <t xml:space="preserve">Net yield growth 2028E-30E: Bull</t>
  </si>
  <si>
    <t xml:space="preserve">Net yield growth 2028E-30E: Base</t>
  </si>
  <si>
    <t xml:space="preserve">Net yield growth 2028E-30E: Bear</t>
  </si>
  <si>
    <t xml:space="preserve">Net yield growth 2028E-30E: selected</t>
  </si>
  <si>
    <t xml:space="preserve">NCC ex fuel per capacity day growth: Bull</t>
  </si>
  <si>
    <t xml:space="preserve">NCC ex fuel per capacity day growth: Base</t>
  </si>
  <si>
    <t xml:space="preserve">NCC ex fuel per capacity day growth: Bear</t>
  </si>
  <si>
    <t xml:space="preserve">NCC ex fuel per capacity day growth: selected</t>
  </si>
  <si>
    <t xml:space="preserve">Fuel price per metric ton, net of hedges ($): Bull</t>
  </si>
  <si>
    <t xml:space="preserve">Fuel price per metric ton, net of hedges ($): Base</t>
  </si>
  <si>
    <t xml:space="preserve">Fuel price per metric ton, net of hedges ($): Bear</t>
  </si>
  <si>
    <t xml:space="preserve">Fuel price per metric ton, net of hedges ($): selected</t>
  </si>
  <si>
    <t xml:space="preserve">Advance ticket sales at YE2026 ($mm): Bull</t>
  </si>
  <si>
    <t xml:space="preserve">Advance ticket sales at YE2026 ($mm): Base</t>
  </si>
  <si>
    <t xml:space="preserve">Advance ticket sales at YE2026 ($mm): Bear</t>
  </si>
  <si>
    <t xml:space="preserve">Advance ticket sales at YE2026 ($mm): selected</t>
  </si>
  <si>
    <t xml:space="preserve">Capacity, occupancy and net yield</t>
  </si>
  <si>
    <t xml:space="preserve">Capacity days (M)</t>
  </si>
  <si>
    <t xml:space="preserve">Capacity growth</t>
  </si>
  <si>
    <t xml:space="preserve">Passenger cruise days (M)</t>
  </si>
  <si>
    <t xml:space="preserve">Net yield growth</t>
  </si>
  <si>
    <t xml:space="preserve">Revenue</t>
  </si>
  <si>
    <t xml:space="preserve">Passenger ticket revenue</t>
  </si>
  <si>
    <t xml:space="preserve">Onboard and other revenue</t>
  </si>
  <si>
    <t xml:space="preserve">Total revenue</t>
  </si>
  <si>
    <t xml:space="preserve">Revenue growth</t>
  </si>
  <si>
    <t xml:space="preserve">Commissions, transportation and other</t>
  </si>
  <si>
    <t xml:space="preserve">Onboard and other expense</t>
  </si>
  <si>
    <t xml:space="preserve">Gross margin check (revenue - commissions - onboard costs)</t>
  </si>
  <si>
    <t xml:space="preserve">Costs</t>
  </si>
  <si>
    <t xml:space="preserve">Adjusted NCC ex fuel per capacity day ($)</t>
  </si>
  <si>
    <t xml:space="preserve">Adjusted NCC ex fuel ($mm)</t>
  </si>
  <si>
    <t xml:space="preserve">Fuel consumption (k metric tons)</t>
  </si>
  <si>
    <t xml:space="preserve">Fuel expense ($mm)</t>
  </si>
  <si>
    <t xml:space="preserve">Income statement (adjusted)</t>
  </si>
  <si>
    <t xml:space="preserve">Adjusted EBITDA</t>
  </si>
  <si>
    <t xml:space="preserve">EBITDA margin (% of revenue)</t>
  </si>
  <si>
    <t xml:space="preserve">Depreciation and amortization</t>
  </si>
  <si>
    <t xml:space="preserve">Adjusted EBIT</t>
  </si>
  <si>
    <t xml:space="preserve">Net interest expense (ex. debt extinguishment)</t>
  </si>
  <si>
    <t xml:space="preserve">Interest rate on opening net debt</t>
  </si>
  <si>
    <t xml:space="preserve">Pre-tax income</t>
  </si>
  <si>
    <t xml:space="preserve">Income tax</t>
  </si>
  <si>
    <t xml:space="preserve">Adjusted net income</t>
  </si>
  <si>
    <t xml:space="preserve">Adjusted EPS</t>
  </si>
  <si>
    <t xml:space="preserve">EPS growth</t>
  </si>
  <si>
    <t xml:space="preserve">Versus consensus</t>
  </si>
  <si>
    <t xml:space="preserve">Consensus revenue</t>
  </si>
  <si>
    <t xml:space="preserve">Revenue: ours less consensus ($mm)</t>
  </si>
  <si>
    <t xml:space="preserve">Revenue: ours vs consensus (%)</t>
  </si>
  <si>
    <t xml:space="preserve">Consensus adjusted EPS (Yahoo)</t>
  </si>
  <si>
    <t xml:space="preserve">EPS: ours less consensus ($)</t>
  </si>
  <si>
    <t xml:space="preserve">EPS: ours vs consensus (%)</t>
  </si>
  <si>
    <t xml:space="preserve">Consensus adjusted EPS (Nasdaq / Zacks)</t>
  </si>
  <si>
    <t xml:space="preserve">EPS: ours vs Zacks consensus (%)</t>
  </si>
  <si>
    <t xml:space="preserve">Street-implied EBITDA</t>
  </si>
  <si>
    <t xml:space="preserve">EBITDA: ours vs Street (%)</t>
  </si>
  <si>
    <t xml:space="preserve">Cash flow and net debt</t>
  </si>
  <si>
    <t xml:space="preserve">(-) Net interest</t>
  </si>
  <si>
    <t xml:space="preserve">(-) Income tax</t>
  </si>
  <si>
    <t xml:space="preserve">(-) Newbuild capex, gross</t>
  </si>
  <si>
    <t xml:space="preserve">(-) Other capex</t>
  </si>
  <si>
    <t xml:space="preserve">Advance ticket sales (year end)</t>
  </si>
  <si>
    <t xml:space="preserve">(+) Change in advance ticket sales</t>
  </si>
  <si>
    <t xml:space="preserve">(+) Other (asset sales, other working capital)</t>
  </si>
  <si>
    <t xml:space="preserve">Free cash flow before financing</t>
  </si>
  <si>
    <t xml:space="preserve">Net debt (year end)</t>
  </si>
  <si>
    <t xml:space="preserve">Net debt / EBITDA</t>
  </si>
  <si>
    <t xml:space="preserve">Returns on capital (threshold test)</t>
  </si>
  <si>
    <t xml:space="preserve">Book equity (year end)</t>
  </si>
  <si>
    <t xml:space="preserve">Invested capital (net debt + equity)</t>
  </si>
  <si>
    <t xml:space="preserve">Pre-tax return on invested capital</t>
  </si>
  <si>
    <t xml:space="preserve">Cost of capital (DCF tab)</t>
  </si>
  <si>
    <t xml:space="preserve">ROIC less cost of capital</t>
  </si>
  <si>
    <t xml:space="preserve">Unlevered free cash flow (DCF cross-check)</t>
  </si>
  <si>
    <t xml:space="preserve">(-) Taxes on EBIT</t>
  </si>
  <si>
    <t xml:space="preserve">NOPAT</t>
  </si>
  <si>
    <t xml:space="preserve">(+) D&amp;A</t>
  </si>
  <si>
    <t xml:space="preserve">(-) Capex (newbuild + other)</t>
  </si>
  <si>
    <t xml:space="preserve">Unlevered free cash flow</t>
  </si>
  <si>
    <t xml:space="preserve">Discount period (years from YE2026)</t>
  </si>
  <si>
    <t xml:space="preserve">Present value</t>
  </si>
  <si>
    <t xml:space="preserve">Net Yield Build: occupancy x (ticket + onboard - commissions - onboard costs) per passenger day</t>
  </si>
  <si>
    <t xml:space="preserve">Q1'25A</t>
  </si>
  <si>
    <t xml:space="preserve">Q2'25A</t>
  </si>
  <si>
    <t xml:space="preserve">Q3'25A</t>
  </si>
  <si>
    <t xml:space="preserve">Q4'25A</t>
  </si>
  <si>
    <t xml:space="preserve">Q1'26A</t>
  </si>
  <si>
    <t xml:space="preserve">Q2'26A</t>
  </si>
  <si>
    <t xml:space="preserve">Q3'26E</t>
  </si>
  <si>
    <t xml:space="preserve">Q4'26E</t>
  </si>
  <si>
    <t xml:space="preserve">Q1'27E</t>
  </si>
  <si>
    <t xml:space="preserve">Q2'27E</t>
  </si>
  <si>
    <t xml:space="preserve">Q3'27E</t>
  </si>
  <si>
    <t xml:space="preserve">Q4'27E</t>
  </si>
  <si>
    <t xml:space="preserve">$ per day unless noted. Case switch: DCF!C9 (1 = Bull, consensus-calibrated; 2 = Base; 3 = Bear)</t>
  </si>
  <si>
    <t xml:space="preserve">Common drivers (all cases)</t>
  </si>
  <si>
    <t xml:space="preserve">Capacity days growth y/y (3Q-4Q26 guidance; 2027 Fleet Qtr Build)</t>
  </si>
  <si>
    <t xml:space="preserve">fleet / guidance</t>
  </si>
  <si>
    <t xml:space="preserve">Caribbean share of NCLH capacity (KPI 1 build)</t>
  </si>
  <si>
    <t xml:space="preserve">deployment est.</t>
  </si>
  <si>
    <t xml:space="preserve">Observed NCL fare change: Caribbean (KPI 1 build)</t>
  </si>
  <si>
    <t xml:space="preserve">Observed NCL fare change: other regions (KPI 1 build)</t>
  </si>
  <si>
    <t xml:space="preserve">Full-fare commission step-up (pts of ticket; KPI 1 build)</t>
  </si>
  <si>
    <t xml:space="preserve">NCF elimination</t>
  </si>
  <si>
    <t xml:space="preserve">Bull case: Street-like recovery (approximates consensus)</t>
  </si>
  <si>
    <t xml:space="preserve">Underlying price change y/y (3Q-4Q26 calibrated to guidance)</t>
  </si>
  <si>
    <t xml:space="preserve">Thesis 1: fare cuts on unsold cabins (KPI 1 build)</t>
  </si>
  <si>
    <t xml:space="preserve">Brand / new-ship mix effect on ticket price</t>
  </si>
  <si>
    <t xml:space="preserve">Thesis 2: late discounts on the booking shortfall (KPI 2 build)</t>
  </si>
  <si>
    <t xml:space="preserve">Onboard revenue per passenger day growth</t>
  </si>
  <si>
    <t xml:space="preserve">Underlying price change</t>
  </si>
  <si>
    <t xml:space="preserve">Thesis effects (Thesis 1 + Thesis 2)</t>
  </si>
  <si>
    <t xml:space="preserve">KPI 1: like-for-like ticket price change y/y</t>
  </si>
  <si>
    <t xml:space="preserve">Ticket revenue per passenger day</t>
  </si>
  <si>
    <t xml:space="preserve">Onboard revenue per passenger day</t>
  </si>
  <si>
    <t xml:space="preserve">Commissions/transport % of ticket</t>
  </si>
  <si>
    <t xml:space="preserve">Onboard costs % of onboard revenue</t>
  </si>
  <si>
    <t xml:space="preserve">Net per diem</t>
  </si>
  <si>
    <t xml:space="preserve">NET YIELD ($ per capacity day)</t>
  </si>
  <si>
    <t xml:space="preserve">Net yield y/y</t>
  </si>
  <si>
    <t xml:space="preserve">Passenger ticket revenue ($mm)</t>
  </si>
  <si>
    <t xml:space="preserve">Onboard and other revenue ($mm)</t>
  </si>
  <si>
    <t xml:space="preserve">Total revenue ($mm)</t>
  </si>
  <si>
    <t xml:space="preserve">Commissions, transportation and other ($mm)</t>
  </si>
  <si>
    <t xml:space="preserve">Onboard and other expense ($mm)</t>
  </si>
  <si>
    <t xml:space="preserve">Base case: our view</t>
  </si>
  <si>
    <t xml:space="preserve">Occupancy change y/y (pts): consensus case + KPI 2 (2027)</t>
  </si>
  <si>
    <t xml:space="preserve">Underlying price on sold cabins (2H26 calibrated to guidance; 2027 = consensus case)</t>
  </si>
  <si>
    <t xml:space="preserve">Bear case: Caribbean discounting deepens</t>
  </si>
  <si>
    <t xml:space="preserve">Selected case (feeds the Operating Model)</t>
  </si>
  <si>
    <t xml:space="preserve">Company guidance: net yield y/y (constant currency)</t>
  </si>
  <si>
    <t xml:space="preserve">Model vs guidance (pts)</t>
  </si>
  <si>
    <t xml:space="preserve">Quarterly P&amp;L, selected case, versus consensus EPS</t>
  </si>
  <si>
    <t xml:space="preserve">NCC allocation weight (prior-year quarter x capacity)</t>
  </si>
  <si>
    <t xml:space="preserve">helper</t>
  </si>
  <si>
    <t xml:space="preserve">Fuel ($mm)</t>
  </si>
  <si>
    <t xml:space="preserve">Depreciation and amortization ($mm)</t>
  </si>
  <si>
    <t xml:space="preserve">Net interest ($mm)</t>
  </si>
  <si>
    <t xml:space="preserve">Pre-tax income ($mm)</t>
  </si>
  <si>
    <t xml:space="preserve">Income tax ($mm)</t>
  </si>
  <si>
    <t xml:space="preserve">Adjusted net income ($mm)</t>
  </si>
  <si>
    <t xml:space="preserve">Consensus EPS (Nasdaq / Zacks)</t>
  </si>
  <si>
    <t xml:space="preserve">EPS: model less consensus</t>
  </si>
  <si>
    <t xml:space="preserve">Sum of quarters less annual (Operating Model)</t>
  </si>
  <si>
    <t xml:space="preserve">Source: actual quarters from NCLH 8-K releases (Quarterly (A)); 3Q26 unit cost from company guidance; consensus EPS from Nasdaq (Zacks).</t>
  </si>
  <si>
    <t xml:space="preserve">KPI 1 Price Build (Thesis 1): fare cuts on unsold cabins -&gt; ticket revenue per passenger day</t>
  </si>
  <si>
    <t xml:space="preserve">Thesis 1: NCL is cutting prices to fill Caribbean ships because it is losing share there. The fare panel measures the cuts; this sheet applies them only to cabins NCL still has to sell, by brand and region. Output (section E) feeds the Net Yield Build.</t>
  </si>
  <si>
    <t xml:space="preserve">Logic / source</t>
  </si>
  <si>
    <t xml:space="preserve">Fare-panel sailing window</t>
  </si>
  <si>
    <t xml:space="preserve">sailed</t>
  </si>
  <si>
    <t xml:space="preserve">Q4 2026</t>
  </si>
  <si>
    <t xml:space="preserve">1H 2027</t>
  </si>
  <si>
    <t xml:space="preserve">2H 2027</t>
  </si>
  <si>
    <t xml:space="preserve">Months from Oct 2, 2026 to mid-quarter sailing</t>
  </si>
  <si>
    <t xml:space="preserve">A. Where NCLH capacity sails</t>
  </si>
  <si>
    <t xml:space="preserve">NCLH Caribbean share of capacity (deployment estimate)</t>
  </si>
  <si>
    <t xml:space="preserve">Team estimate from published itinerary schedules</t>
  </si>
  <si>
    <t xml:space="preserve">Oceania + Regent share of NCLH capacity</t>
  </si>
  <si>
    <t xml:space="preserve">Fleet Qtr Build row 11</t>
  </si>
  <si>
    <t xml:space="preserve">Oceania + Regent: Caribbean share of their itineraries</t>
  </si>
  <si>
    <t xml:space="preserve">Fare Panel A: itinerary counts in the window</t>
  </si>
  <si>
    <t xml:space="preserve">NCL brand: Caribbean share of its capacity</t>
  </si>
  <si>
    <t xml:space="preserve">(NCLH share - luxury share x luxury Caribbean share) / NCL share</t>
  </si>
  <si>
    <t xml:space="preserve">B. Observed fare change: median vs. each itinerary's own 90-day average (Oct 2, 2026)</t>
  </si>
  <si>
    <t xml:space="preserve">NCL: Caribbean</t>
  </si>
  <si>
    <t xml:space="preserve">Fare Panel A</t>
  </si>
  <si>
    <t xml:space="preserve">NCL: Europe, Alaska and other (itinerary-weighted)</t>
  </si>
  <si>
    <t xml:space="preserve">Oceania and Regent: all regions (itinerary-weighted)</t>
  </si>
  <si>
    <t xml:space="preserve">Memo: Royal Caribbean and Carnival, Caribbean (average)</t>
  </si>
  <si>
    <t xml:space="preserve">Memo: NCL Caribbean cut beyond its peers</t>
  </si>
  <si>
    <t xml:space="preserve">C. Cabins still unsold at today's fares</t>
  </si>
  <si>
    <t xml:space="preserve">Booking curve: months before sailing</t>
  </si>
  <si>
    <t xml:space="preserve">0-3</t>
  </si>
  <si>
    <t xml:space="preserve">3-6</t>
  </si>
  <si>
    <t xml:space="preserve">6-9</t>
  </si>
  <si>
    <t xml:space="preserve">9-12</t>
  </si>
  <si>
    <t xml:space="preserve">12-15</t>
  </si>
  <si>
    <t xml:space="preserve">Typical share of cabins already sold (industry curve)</t>
  </si>
  <si>
    <t xml:space="preserve">Industry booking curve (team, from line commentary)</t>
  </si>
  <si>
    <t xml:space="preserve">Typical share sold at this quarter's lead time</t>
  </si>
  <si>
    <t xml:space="preserve">Booking shortfall in windows the panel already prices (KPI 2 build)</t>
  </si>
  <si>
    <t xml:space="preserve">Q4 2026 and 1H27 only; 2H27 shortfall is Thesis 2</t>
  </si>
  <si>
    <t xml:space="preserve">Share of cabins unsold at today's fares: base case</t>
  </si>
  <si>
    <t xml:space="preserve">1 - typical share sold + shortfall</t>
  </si>
  <si>
    <t xml:space="preserve">Same: consensus case</t>
  </si>
  <si>
    <t xml:space="preserve">Calibrated so the consensus case reproduces consensus 2027 EPS</t>
  </si>
  <si>
    <t xml:space="preserve">Same: bear case</t>
  </si>
  <si>
    <t xml:space="preserve">Bear shortfall from KPI 2 build</t>
  </si>
  <si>
    <t xml:space="preserve">Bear: share of the 1H27 Caribbean cut that carries into 2H27 sailings</t>
  </si>
  <si>
    <t xml:space="preserve">D. Weighting by brand (Oceania and Regent show no cuts)</t>
  </si>
  <si>
    <t xml:space="preserve">NCL brand share of NCLH ticket revenue</t>
  </si>
  <si>
    <t xml:space="preserve">Assumption; between the panel cross-check (row 36) and berth share (row 34)</t>
  </si>
  <si>
    <t xml:space="preserve">Cross-check: NCL brand share of 2027 berths (ceiling)</t>
  </si>
  <si>
    <t xml:space="preserve">Cross-check: median lowest fare per night (NCL / Oceania / Regent)</t>
  </si>
  <si>
    <t xml:space="preserve">Cross-check: NCL share of ticket revenue implied by berths x panel fares</t>
  </si>
  <si>
    <t xml:space="preserve">Lowest fares overstate luxury weight (narrower cabin spread)</t>
  </si>
  <si>
    <t xml:space="preserve">E. KPI 1 output: Thesis 1 effect on NCLH ticket revenue per passenger day (y/y)</t>
  </si>
  <si>
    <t xml:space="preserve">2H27: part of the 1H27 Caribbean cut carries over (row 30)</t>
  </si>
  <si>
    <t xml:space="preserve">Base less consensus (pts)</t>
  </si>
  <si>
    <t xml:space="preserve">Memo: part of the base effect that is NCL-specific (Caribbean cut beyond peers)</t>
  </si>
  <si>
    <t xml:space="preserve">F. Other ticket-price items, the same in every case</t>
  </si>
  <si>
    <t xml:space="preserve">Full-fare commissions: run-rate cost (pts of ticket revenue)</t>
  </si>
  <si>
    <t xml:space="preserve">Non-commissionable fares ended for bookings from Dec 26, 2025</t>
  </si>
  <si>
    <t xml:space="preserve">Share of the quarter's sailings booked under the new terms</t>
  </si>
  <si>
    <t xml:space="preserve">Same quarter a year earlier</t>
  </si>
  <si>
    <t xml:space="preserve">Commission step-up y/y (pts of ticket)</t>
  </si>
  <si>
    <t xml:space="preserve">G. Sensitivity: 1Q27 Thesis 1 effect (base) vs. NCL revenue weight (across) and 1H27 Caribbean cut (down)</t>
  </si>
  <si>
    <t xml:space="preserve">Blue on gray = assumptions; blue = data; black = formulas; green = links. Fare data: Fare Panel (allaboarddeals.com, Oct 2, 2026). Capacity: Fleet Build / Fleet Qtr Build.</t>
  </si>
  <si>
    <t xml:space="preserve">KPI 2 Booking Build (Thesis 2): booking shortfall -&gt; occupancy and late discounts</t>
  </si>
  <si>
    <t xml:space="preserve">Thesis 2: NCL's Best Price Guarantee removes the reason to book early, so the booking shortfall persists and NCL fills it late at a discount, leaving some cabins empty. Deposits size the shortfall; this sheet splits it into empty cabins (KPI 2: occupancy) and late-sold cabins (price, 2H27).</t>
  </si>
  <si>
    <t xml:space="preserve">A. How short is the booked position? (Jun 30, 2026)</t>
  </si>
  <si>
    <t xml:space="preserve">Deposits per future berth-day, y/y</t>
  </si>
  <si>
    <t xml:space="preserve">Deposits sheet: advance ticket sales / next-4Q capacity days</t>
  </si>
  <si>
    <t xml:space="preserve">Ticket revenue per passenger day, 1H26 y/y (realized price)</t>
  </si>
  <si>
    <t xml:space="preserve">Quarterly (A)</t>
  </si>
  <si>
    <t xml:space="preserve">Shortfall if booked fares fell as much as realized fares (share of cabins)</t>
  </si>
  <si>
    <t xml:space="preserve">Shortfall if booked fares were flat</t>
  </si>
  <si>
    <t xml:space="preserve">Midpoint</t>
  </si>
  <si>
    <t xml:space="preserve">Base-case booking shortfall</t>
  </si>
  <si>
    <t xml:space="preserve">Midpoint, rounded down; 4Q26 through 4Q27</t>
  </si>
  <si>
    <t xml:space="preserve">Bear-case booking shortfall</t>
  </si>
  <si>
    <t xml:space="preserve">About the fares-flat reading (row 9)</t>
  </si>
  <si>
    <t xml:space="preserve">Consensus case: no shortfall (base-loading works)</t>
  </si>
  <si>
    <t xml:space="preserve">Management: NCL is "below its optimal booked position for the next 12 months" (2Q26 call).</t>
  </si>
  <si>
    <t xml:space="preserve">B. How much of the shortfall stays empty (KPI 2: occupancy)</t>
  </si>
  <si>
    <t xml:space="preserve">Cross-check: 2Q26 occupancy change y/y (pts)</t>
  </si>
  <si>
    <t xml:space="preserve">Deposit indicator a quarter earlier (Mar 31, 2026)</t>
  </si>
  <si>
    <t xml:space="preserve">Occupancy points per 1% of indicator decline (2Q26)</t>
  </si>
  <si>
    <t xml:space="preserve">Same, 3Q26 guide vs. the Jun 30 indicator</t>
  </si>
  <si>
    <t xml:space="preserve">Occupancy drop that relationship implies at today's indicator (pts)</t>
  </si>
  <si>
    <t xml:space="preserve">Share of the shortfall that stays unsold</t>
  </si>
  <si>
    <t xml:space="preserve">Gives 1.0 pt vs. consensus case, about half of row 21</t>
  </si>
  <si>
    <t xml:space="preserve">Apply to quarter (2027 sailings)</t>
  </si>
  <si>
    <t xml:space="preserve">KPI 2: occupancy vs. consensus case, base (pts)</t>
  </si>
  <si>
    <t xml:space="preserve">KPI 2: occupancy vs. consensus case, bear (pts)</t>
  </si>
  <si>
    <t xml:space="preserve">C. Cabins sold late: the close-in discount (price, 2H27 sailings)</t>
  </si>
  <si>
    <t xml:space="preserve">Close-in discount: NCL cut on sailings within ~3 months (4Q26)</t>
  </si>
  <si>
    <t xml:space="preserve">KPI 1 build, 4Q26, NCL brand Caribbean/other mix</t>
  </si>
  <si>
    <t xml:space="preserve">Apply to quarter (2H27: not yet visible in the fare panel)</t>
  </si>
  <si>
    <t xml:space="preserve">Thesis 2 price effect, base (pts of NCLH ticket revenue per passenger day)</t>
  </si>
  <si>
    <t xml:space="preserve">shortfall x share sold late x close-in discount x NCL weight</t>
  </si>
  <si>
    <t xml:space="preserve">Thesis 2 price effect, bear</t>
  </si>
  <si>
    <t xml:space="preserve">D. Best Price Guarantee claims (not in the base case; switch for sensitivity)</t>
  </si>
  <si>
    <t xml:space="preserve">Include in the Net Yield Build? (1 = yes)</t>
  </si>
  <si>
    <t xml:space="preserve">Claim rate: booked guests who reprice before final payment</t>
  </si>
  <si>
    <t xml:space="preserve">Claim rate: paid-up guests who take an upgrade or credit</t>
  </si>
  <si>
    <t xml:space="preserve">Share of claims taken as future-cruise credit (rest as upgrades)</t>
  </si>
  <si>
    <t xml:space="preserve">Credits redeemed evenly over the next quarters (valid two years)</t>
  </si>
  <si>
    <t xml:space="preserve">NCL brand fare cut on the quarter's sailings</t>
  </si>
  <si>
    <t xml:space="preserve">Share of booked guests already past final payment when cut</t>
  </si>
  <si>
    <t xml:space="preserve">Share of cabins sold before the cuts (base)</t>
  </si>
  <si>
    <t xml:space="preserve">Repricing cost before final payment (pts of NCLH ticket revenue)</t>
  </si>
  <si>
    <t xml:space="preserve">Credits issued to paid-up guests (pts of NCLH ticket revenue)</t>
  </si>
  <si>
    <t xml:space="preserve">Ticket revenue, consensus case ($mm)</t>
  </si>
  <si>
    <t xml:space="preserve">Credits issued ($mm)</t>
  </si>
  <si>
    <t xml:space="preserve">Credits redeemed ($mm)</t>
  </si>
  <si>
    <t xml:space="preserve">Redemption cost (pts of ticket revenue)</t>
  </si>
  <si>
    <t xml:space="preserve">Total claim cost (pts of ticket revenue)</t>
  </si>
  <si>
    <t xml:space="preserve">Applied in the Net Yield Build (x switch)</t>
  </si>
  <si>
    <t xml:space="preserve">Memo: 2027 EBITDA cost if switched on ($mm)</t>
  </si>
  <si>
    <t xml:space="preserve">Memo: 2027 net yield cost if switched on (pts)</t>
  </si>
  <si>
    <t xml:space="preserve">E. Dated checks on the booking shortfall</t>
  </si>
  <si>
    <t xml:space="preserve">Sept 30, 2026 advance ticket sales: our forecast ($mm, Nov 4 10-Q)</t>
  </si>
  <si>
    <t xml:space="preserve">Supports the thesis if below ($mm)</t>
  </si>
  <si>
    <t xml:space="preserve">Thesis 2 wrong if at or above ($mm)</t>
  </si>
  <si>
    <t xml:space="preserve">Back-test: share of quarters the indicator called the direction of net yield</t>
  </si>
  <si>
    <t xml:space="preserve">Sources: SEC XBRL (customer deposits); NCLH 8-Ks and 2Q26 call; ncl.com Best Price Guarantee terms; fare panel. Blue on gray = assumptions.</t>
  </si>
  <si>
    <t xml:space="preserve">Fleet Build: berths in service by ship and year</t>
  </si>
  <si>
    <t xml:space="preserve">Scaling of undisclosed existing-ship berths to the 10-K fleet total (YE2024: 32 ships, ~66,500 berths)</t>
  </si>
  <si>
    <t xml:space="preserve">Berth-years = berths x share of the year in service; dates as decimal years (2026.25 = Apr 1, 2026). Months after 2026 and all post-2027 delivery years are assumptions.</t>
  </si>
  <si>
    <t xml:space="preserve">Ship</t>
  </si>
  <si>
    <t xml:space="preserve">Brand</t>
  </si>
  <si>
    <t xml:space="preserve">Class / status</t>
  </si>
  <si>
    <t xml:space="preserve">Berths</t>
  </si>
  <si>
    <t xml:space="preserve">In service</t>
  </si>
  <si>
    <t xml:space="preserve">Out of service</t>
  </si>
  <si>
    <t xml:space="preserve">Norwegian Aura</t>
  </si>
  <si>
    <t xml:space="preserve">Norwegian</t>
  </si>
  <si>
    <t xml:space="preserve">Prima Plus; 3,880 berths (10-Q); month assumed</t>
  </si>
  <si>
    <t xml:space="preserve">Norwegian Prima Plus #6</t>
  </si>
  <si>
    <t xml:space="preserve">Prima Plus; 3,880 berths (10-Q); 2028 date assumed</t>
  </si>
  <si>
    <t xml:space="preserve">Norwegian Luna</t>
  </si>
  <si>
    <t xml:space="preserve">Prima Plus; 3,565 berths (10-K); delivered Mar 2026</t>
  </si>
  <si>
    <t xml:space="preserve">Norwegian Aqua</t>
  </si>
  <si>
    <t xml:space="preserve">Prima Plus; 3,550 berths (FY24 10-K); delivered 2025</t>
  </si>
  <si>
    <t xml:space="preserve">Norwegian Viva</t>
  </si>
  <si>
    <t xml:space="preserve">Prima</t>
  </si>
  <si>
    <t xml:space="preserve">Norwegian Prima</t>
  </si>
  <si>
    <t xml:space="preserve">Norwegian new class #1</t>
  </si>
  <si>
    <t xml:space="preserve">5,000 berths (10-Q); 2030 date assumed</t>
  </si>
  <si>
    <t xml:space="preserve">Norwegian Encore</t>
  </si>
  <si>
    <t xml:space="preserve">Breakaway Plus</t>
  </si>
  <si>
    <t xml:space="preserve">Norwegian Bliss</t>
  </si>
  <si>
    <t xml:space="preserve">Norwegian Joy</t>
  </si>
  <si>
    <t xml:space="preserve">Norwegian Escape</t>
  </si>
  <si>
    <t xml:space="preserve">Norwegian Getaway</t>
  </si>
  <si>
    <t xml:space="preserve">Breakaway</t>
  </si>
  <si>
    <t xml:space="preserve">Norwegian Breakaway</t>
  </si>
  <si>
    <t xml:space="preserve">Norwegian Epic</t>
  </si>
  <si>
    <t xml:space="preserve">Epic</t>
  </si>
  <si>
    <t xml:space="preserve">Norwegian Gem</t>
  </si>
  <si>
    <t xml:space="preserve">Jewel</t>
  </si>
  <si>
    <t xml:space="preserve">Norwegian Jade</t>
  </si>
  <si>
    <t xml:space="preserve">Norwegian Pearl</t>
  </si>
  <si>
    <t xml:space="preserve">Norwegian Jewel</t>
  </si>
  <si>
    <t xml:space="preserve">Pride of America</t>
  </si>
  <si>
    <t xml:space="preserve">Hawaii (U.S.-flag)</t>
  </si>
  <si>
    <t xml:space="preserve">Norwegian Dawn</t>
  </si>
  <si>
    <t xml:space="preserve">Dawn</t>
  </si>
  <si>
    <t xml:space="preserve">Norwegian Star</t>
  </si>
  <si>
    <t xml:space="preserve">Norwegian Sun</t>
  </si>
  <si>
    <t xml:space="preserve">Bareboat charter out, late 2027 (10-Q)</t>
  </si>
  <si>
    <t xml:space="preserve">Norwegian Sky</t>
  </si>
  <si>
    <t xml:space="preserve">Bareboat charter out, late 2026 (10-Q)</t>
  </si>
  <si>
    <t xml:space="preserve">Norwegian Spirit</t>
  </si>
  <si>
    <t xml:space="preserve">Spirit</t>
  </si>
  <si>
    <t xml:space="preserve">Oceania Sonata</t>
  </si>
  <si>
    <t xml:space="preserve">Oceania</t>
  </si>
  <si>
    <t xml:space="preserve">Sonata; 1,390 berths (10-Q); month assumed</t>
  </si>
  <si>
    <t xml:space="preserve">Oceania Sonata class #2</t>
  </si>
  <si>
    <t xml:space="preserve">Sonata; 1,390 berths (10-Q); 2029 date assumed</t>
  </si>
  <si>
    <t xml:space="preserve">Oceania Allura</t>
  </si>
  <si>
    <t xml:space="preserve">Allura; 1,200 berths (FY24 10-K); delivered 2025</t>
  </si>
  <si>
    <t xml:space="preserve">Oceania Vista</t>
  </si>
  <si>
    <t xml:space="preserve">Allura</t>
  </si>
  <si>
    <t xml:space="preserve">Oceania Riviera</t>
  </si>
  <si>
    <t xml:space="preserve">Marina</t>
  </si>
  <si>
    <t xml:space="preserve">Oceania Marina</t>
  </si>
  <si>
    <t xml:space="preserve">Oceania Sirena</t>
  </si>
  <si>
    <t xml:space="preserve">Sold 3Q26, chartered back (10-Q)</t>
  </si>
  <si>
    <t xml:space="preserve">Oceania Nautica</t>
  </si>
  <si>
    <t xml:space="preserve">R-class</t>
  </si>
  <si>
    <t xml:space="preserve">Oceania Regatta</t>
  </si>
  <si>
    <t xml:space="preserve">Oceania Insignia</t>
  </si>
  <si>
    <t xml:space="preserve">Seven Seas Prestige</t>
  </si>
  <si>
    <t xml:space="preserve">Regent</t>
  </si>
  <si>
    <t xml:space="preserve">Prestige; 822 berths (10-Q); month assumed</t>
  </si>
  <si>
    <t xml:space="preserve">Regent Prestige class #2</t>
  </si>
  <si>
    <t xml:space="preserve">Prestige; 822 berths (10-Q); 2029 per FY24 10-K, assumed</t>
  </si>
  <si>
    <t xml:space="preserve">Seven Seas Grandeur</t>
  </si>
  <si>
    <t xml:space="preserve">Explorer</t>
  </si>
  <si>
    <t xml:space="preserve">Seven Seas Splendor</t>
  </si>
  <si>
    <t xml:space="preserve">Seven Seas Explorer</t>
  </si>
  <si>
    <t xml:space="preserve">Seven Seas Voyager</t>
  </si>
  <si>
    <t xml:space="preserve">Voyager</t>
  </si>
  <si>
    <t xml:space="preserve">Seven Seas Mariner</t>
  </si>
  <si>
    <t xml:space="preserve">Mariner</t>
  </si>
  <si>
    <t xml:space="preserve">Seven Seas Navigator</t>
  </si>
  <si>
    <t xml:space="preserve">Berth-years by brand</t>
  </si>
  <si>
    <t xml:space="preserve">Total berth-years</t>
  </si>
  <si>
    <t xml:space="preserve">Prima-class share of Norwegian berth-years (newest ships)</t>
  </si>
  <si>
    <t xml:space="preserve">Capacity days: calibration to reported and guided figures</t>
  </si>
  <si>
    <t xml:space="preserve">Capacity days, reported / guided (M)</t>
  </si>
  <si>
    <t xml:space="preserve">Capacity days per berth-year (drydocks, repositioning)</t>
  </si>
  <si>
    <t xml:space="preserve">Fleet-implied capacity days (M)</t>
  </si>
  <si>
    <t xml:space="preserve">Capacity growth y/y</t>
  </si>
  <si>
    <t xml:space="preserve">Net Yield Build capacity days (M)</t>
  </si>
  <si>
    <t xml:space="preserve">Net Yield Build less fleet-implied (M)</t>
  </si>
  <si>
    <t xml:space="preserve">Fleet berths reported: YE2024 (10-K) / YE2025 (10-K) / Jun 30, 2026 (10-Q)</t>
  </si>
  <si>
    <t xml:space="preserve">Model berths in service at the same dates</t>
  </si>
  <si>
    <t xml:space="preserve">Source: NCLH 10-K FY2024 and FY2025 (fleet lists, fleet berth totals, class berths), 2Q26 10-Q (orderbook, charters, Sirena sale). Per-ship berths of existing ships are not disclosed: approximate, scaled to the 10-K total. Delivery months and post-2027 delivery years are assumptions.</t>
  </si>
  <si>
    <t xml:space="preserve">Fleet Qtr Build: capacity days by ship and quarter (bottom-up quarterly capacity growth)</t>
  </si>
  <si>
    <t xml:space="preserve">One row per ship per quarter (rows 21-524). Capacity days = berths x years in service during the quarter x capacity days per berth-year (Fleet Build K58). Delivery and exit dates come from Fleet Build. 2027 y/y growth (row 12) feeds the Net Yield Build; 3Q-4Q26 stay on company guidance.</t>
  </si>
  <si>
    <t xml:space="preserve">1Q25</t>
  </si>
  <si>
    <t xml:space="preserve">2Q25</t>
  </si>
  <si>
    <t xml:space="preserve">3Q25</t>
  </si>
  <si>
    <t xml:space="preserve">4Q25</t>
  </si>
  <si>
    <t xml:space="preserve">1Q26</t>
  </si>
  <si>
    <t xml:space="preserve">2Q26</t>
  </si>
  <si>
    <t xml:space="preserve">Quarter start (year)</t>
  </si>
  <si>
    <t xml:space="preserve">Capacity days, total (M)</t>
  </si>
  <si>
    <t xml:space="preserve">  Norwegian (M)</t>
  </si>
  <si>
    <t xml:space="preserve">  Oceania (M)</t>
  </si>
  <si>
    <t xml:space="preserve">  Regent (M)</t>
  </si>
  <si>
    <t xml:space="preserve">Luxury (Oceania + Regent) share of capacity</t>
  </si>
  <si>
    <t xml:space="preserve">Reported capacity days (M), for reference</t>
  </si>
  <si>
    <t xml:space="preserve">Fleet-implied 2027 capacity days (M) vs. Net Yield Build</t>
  </si>
  <si>
    <t xml:space="preserve">The quarterly build uses the 2026-27 days-per-berth-year, so only y/y growth (not levels) feeds the model.</t>
  </si>
  <si>
    <t xml:space="preserve">Q start</t>
  </si>
  <si>
    <t xml:space="preserve">Q end</t>
  </si>
  <si>
    <t xml:space="preserve">Years in service in quarter</t>
  </si>
  <si>
    <t xml:space="preserve">Public consensus, ratings and company guidance (as of Oct 2, 2026)</t>
  </si>
  <si>
    <t xml:space="preserve">Annual consensus</t>
  </si>
  <si>
    <t xml:space="preserve">Estimates (FY27)</t>
  </si>
  <si>
    <t xml:space="preserve">Low (FY27)</t>
  </si>
  <si>
    <t xml:space="preserve">High (FY27)</t>
  </si>
  <si>
    <t xml:space="preserve">Revenue ($mm), Yahoo Finance</t>
  </si>
  <si>
    <t xml:space="preserve">Adjusted EPS, Yahoo Finance</t>
  </si>
  <si>
    <t xml:space="preserve">Adjusted EPS, Nasdaq / Zacks</t>
  </si>
  <si>
    <t xml:space="preserve">Quarterly consensus EPS (Nasdaq / Zacks)</t>
  </si>
  <si>
    <t xml:space="preserve">4Q27 (implied)</t>
  </si>
  <si>
    <t xml:space="preserve">FY2027E consensus EPS trend (Yahoo Finance)</t>
  </si>
  <si>
    <t xml:space="preserve">90 days ago</t>
  </si>
  <si>
    <t xml:space="preserve">60 days ago</t>
  </si>
  <si>
    <t xml:space="preserve">30 days ago</t>
  </si>
  <si>
    <t xml:space="preserve">7 days ago</t>
  </si>
  <si>
    <t xml:space="preserve">Current</t>
  </si>
  <si>
    <t xml:space="preserve">FY2027E EPS</t>
  </si>
  <si>
    <t xml:space="preserve">Change in the week after the Sept 30 interest guide</t>
  </si>
  <si>
    <t xml:space="preserve">Ratings and price targets (Nasdaq)</t>
  </si>
  <si>
    <t xml:space="preserve">Date</t>
  </si>
  <si>
    <t xml:space="preserve">Buy</t>
  </si>
  <si>
    <t xml:space="preserve">Hold</t>
  </si>
  <si>
    <t xml:space="preserve">Sell</t>
  </si>
  <si>
    <t xml:space="preserve">Average target</t>
  </si>
  <si>
    <t xml:space="preserve">Sep 2025</t>
  </si>
  <si>
    <t xml:space="preserve">Dec 2025</t>
  </si>
  <si>
    <t xml:space="preserve">Mar 2026</t>
  </si>
  <si>
    <t xml:space="preserve">Jun 2026</t>
  </si>
  <si>
    <t xml:space="preserve">Aug 2026</t>
  </si>
  <si>
    <t xml:space="preserve">Sep 2026</t>
  </si>
  <si>
    <t xml:space="preserve">Oct 2026</t>
  </si>
  <si>
    <t xml:space="preserve">Target range, low / high (Oct 2026)</t>
  </si>
  <si>
    <t xml:space="preserve">Company guidance</t>
  </si>
  <si>
    <t xml:space="preserve">FY2026 net yield (constant currency)</t>
  </si>
  <si>
    <t xml:space="preserve">FY2026 Adjusted EBITDA ($mm)</t>
  </si>
  <si>
    <t xml:space="preserve">FY2026 Adjusted EPS</t>
  </si>
  <si>
    <t xml:space="preserve">FY2026 capacity days (M)</t>
  </si>
  <si>
    <t xml:space="preserve">FY2026 occupancy</t>
  </si>
  <si>
    <t xml:space="preserve">FY2026 D&amp;A ($mm)</t>
  </si>
  <si>
    <t xml:space="preserve">FY2026 net interest ($mm)</t>
  </si>
  <si>
    <t xml:space="preserve">FY2026 diluted shares (M)</t>
  </si>
  <si>
    <t xml:space="preserve">FY2026 fuel (k metric tons)</t>
  </si>
  <si>
    <t xml:space="preserve">FY2026 fuel price per ton, net of hedges ($)</t>
  </si>
  <si>
    <t xml:space="preserve">3Q26 net yield (cc); beat pre-announced Sept 30</t>
  </si>
  <si>
    <t xml:space="preserve">4Q26 implied net yield (CFO, 2Q26 call)</t>
  </si>
  <si>
    <t xml:space="preserve">FY2027 net interest expense ($mm), guided Sept 30</t>
  </si>
  <si>
    <t xml:space="preserve">March 2, 2026 guide: FY2026 Adjusted EBITDA ($mm)</t>
  </si>
  <si>
    <t xml:space="preserve">3Q26 Adjusted EBITDA guide ($mm)</t>
  </si>
  <si>
    <t xml:space="preserve">3Q26 Adjusted EPS guide</t>
  </si>
  <si>
    <t xml:space="preserve">3Q26 NCC ex fuel per capacity day, y/y (guide)</t>
  </si>
  <si>
    <t xml:space="preserve">Street-implied FY2027 EBITDA</t>
  </si>
  <si>
    <t xml:space="preserve">Yahoo EPS, pre-guide interest</t>
  </si>
  <si>
    <t xml:space="preserve">Zacks EPS, guided interest</t>
  </si>
  <si>
    <t xml:space="preserve">Consensus FY27 EPS</t>
  </si>
  <si>
    <t xml:space="preserve">Implied adjusted net income ($mm)</t>
  </si>
  <si>
    <t xml:space="preserve">(+) D&amp;A ($mm)</t>
  </si>
  <si>
    <t xml:space="preserve">(+) Net interest ($mm)</t>
  </si>
  <si>
    <t xml:space="preserve">(+) Tax ($mm)</t>
  </si>
  <si>
    <t xml:space="preserve">Street-implied FY2027 Adjusted EBITDA ($mm)</t>
  </si>
  <si>
    <t xml:space="preserve">Consensus FY27 EPS adjusted for the Sept 30 interest guide (Yahoo)</t>
  </si>
  <si>
    <t xml:space="preserve">Decoding the average price target</t>
  </si>
  <si>
    <t xml:space="preserve">Implied equity value ($mm)</t>
  </si>
  <si>
    <t xml:space="preserve">(+) Net debt at YE2026E ($mm)</t>
  </si>
  <si>
    <t xml:space="preserve">Implied enterprise value ($mm)</t>
  </si>
  <si>
    <t xml:space="preserve">Market EV / FY2027E EBITDA</t>
  </si>
  <si>
    <t xml:space="preserve">FY2027E EBITDA the average target requires ($mm)</t>
  </si>
  <si>
    <t xml:space="preserve">Source: Yahoo Finance (Analysis); Nasdaq (Zacks earnings forecast, analyst ratings); NCLH 8-Ks (Mar 2, Jul 30, Sep 30, 2026) and 2Q26 call.</t>
  </si>
  <si>
    <t xml:space="preserve">NCLH historical financials (as reported, 8-K earnings releases)</t>
  </si>
  <si>
    <t xml:space="preserve">Q4'24A</t>
  </si>
  <si>
    <t xml:space="preserve">$mm; capacity and passenger days in millions</t>
  </si>
  <si>
    <t xml:space="preserve">Payroll and related</t>
  </si>
  <si>
    <t xml:space="preserve">Fuel</t>
  </si>
  <si>
    <t xml:space="preserve">Food</t>
  </si>
  <si>
    <t xml:space="preserve">Other cruise operating expense</t>
  </si>
  <si>
    <t xml:space="preserve">Total cruise operating expense</t>
  </si>
  <si>
    <t xml:space="preserve">Marketing, general and administrative</t>
  </si>
  <si>
    <t xml:space="preserve">Operating income</t>
  </si>
  <si>
    <t xml:space="preserve">Interest expense, net (reported)</t>
  </si>
  <si>
    <t xml:space="preserve">Adjusted gross margin (revenue - commissions - onboard costs)</t>
  </si>
  <si>
    <t xml:space="preserve">Adjusted net cruise cost excluding fuel (company)</t>
  </si>
  <si>
    <t xml:space="preserve">Adjusted EBITDA = gross margin - NCC ex fuel - fuel</t>
  </si>
  <si>
    <t xml:space="preserve">Adjusted EBITDA (company reported)</t>
  </si>
  <si>
    <t xml:space="preserve">Check (should be zero)</t>
  </si>
  <si>
    <t xml:space="preserve">Adjusted net income (company)</t>
  </si>
  <si>
    <t xml:space="preserve">Diluted shares, adjusted (M)</t>
  </si>
  <si>
    <t xml:space="preserve">Adjusted EPS (company)</t>
  </si>
  <si>
    <t xml:space="preserve">Commissions/transport as % of ticket revenue</t>
  </si>
  <si>
    <t xml:space="preserve">Onboard costs as % of onboard revenue</t>
  </si>
  <si>
    <t xml:space="preserve">Advance ticket sales (period-end balance)</t>
  </si>
  <si>
    <t xml:space="preserve">Net debt (company)</t>
  </si>
  <si>
    <t xml:space="preserve">Source: NCLH Forms 8-K Ex. 99.1 earnings releases; SEC XBRL (advance ticket sales). Q3 2025 derived as FY2025 less Q1, Q2 and Q4.</t>
  </si>
  <si>
    <t xml:space="preserve">Income statement (GAAP, as reported)</t>
  </si>
  <si>
    <t xml:space="preserve">FY2016A</t>
  </si>
  <si>
    <t xml:space="preserve">FY2017A</t>
  </si>
  <si>
    <t xml:space="preserve">FY2018A</t>
  </si>
  <si>
    <t xml:space="preserve">FY2019A</t>
  </si>
  <si>
    <t xml:space="preserve">FY2020A</t>
  </si>
  <si>
    <t xml:space="preserve">FY2021A</t>
  </si>
  <si>
    <t xml:space="preserve">FY2022A</t>
  </si>
  <si>
    <t xml:space="preserve">FY2023A</t>
  </si>
  <si>
    <t xml:space="preserve">$mm except per-share data; fiscal years ending December 31</t>
  </si>
  <si>
    <t xml:space="preserve">   of which fuel</t>
  </si>
  <si>
    <t xml:space="preserve">Operating margin</t>
  </si>
  <si>
    <t xml:space="preserve">EBITDA (operating income + D&amp;A)</t>
  </si>
  <si>
    <t xml:space="preserve">Interest expense, net</t>
  </si>
  <si>
    <t xml:space="preserve">   of which debt extinguishment</t>
  </si>
  <si>
    <t xml:space="preserve">Other income (expense), net</t>
  </si>
  <si>
    <t xml:space="preserve">Income tax (expense) benefit</t>
  </si>
  <si>
    <t xml:space="preserve">Net income</t>
  </si>
  <si>
    <t xml:space="preserve">Check: operating income + interest + other + tax - net income</t>
  </si>
  <si>
    <t xml:space="preserve">Diluted EPS (GAAP)</t>
  </si>
  <si>
    <t xml:space="preserve">Source: NCLH Forms 10-K, SEC XBRL company facts (us-gaap). 2016-2018 cruise operating expense derived from revenue less other expenses.</t>
  </si>
  <si>
    <t xml:space="preserve">Cash flow statement (GAAP, as reported)</t>
  </si>
  <si>
    <t xml:space="preserve">Net cash from operating activities</t>
  </si>
  <si>
    <t xml:space="preserve">   of which change in advance ticket sales</t>
  </si>
  <si>
    <t xml:space="preserve">   of which share-based compensation</t>
  </si>
  <si>
    <t xml:space="preserve">Capital expenditures</t>
  </si>
  <si>
    <t xml:space="preserve">Free cash flow (operating cash flow less capex)</t>
  </si>
  <si>
    <t xml:space="preserve">Net cash from investing activities</t>
  </si>
  <si>
    <t xml:space="preserve">Debt issued</t>
  </si>
  <si>
    <t xml:space="preserve">Debt repaid</t>
  </si>
  <si>
    <t xml:space="preserve">Equity issued</t>
  </si>
  <si>
    <t xml:space="preserve">Share repurchases</t>
  </si>
  <si>
    <t xml:space="preserve">Net cash from financing activities</t>
  </si>
  <si>
    <t xml:space="preserve">Source: NCLH Forms 10-K, SEC XBRL company facts (us-gaap).</t>
  </si>
  <si>
    <t xml:space="preserve">Balance sheet (GAAP, as reported)</t>
  </si>
  <si>
    <t xml:space="preserve">Cash and cash equivalents</t>
  </si>
  <si>
    <t xml:space="preserve">Accounts receivable</t>
  </si>
  <si>
    <t xml:space="preserve">Inventories</t>
  </si>
  <si>
    <t xml:space="preserve">Total current assets</t>
  </si>
  <si>
    <t xml:space="preserve">Property and equipment, net</t>
  </si>
  <si>
    <t xml:space="preserve">Goodwill</t>
  </si>
  <si>
    <t xml:space="preserve">Intangible assets</t>
  </si>
  <si>
    <t xml:space="preserve">Total assets</t>
  </si>
  <si>
    <t xml:space="preserve">Accounts payable</t>
  </si>
  <si>
    <t xml:space="preserve">Advance ticket sales (current)</t>
  </si>
  <si>
    <t xml:space="preserve">Current portion of long-term debt</t>
  </si>
  <si>
    <t xml:space="preserve">Total current liabilities</t>
  </si>
  <si>
    <t xml:space="preserve">Long-term debt</t>
  </si>
  <si>
    <t xml:space="preserve">Total liabilities</t>
  </si>
  <si>
    <t xml:space="preserve">Shareholders' equity</t>
  </si>
  <si>
    <t xml:space="preserve">Check: assets - liabilities - equity</t>
  </si>
  <si>
    <t xml:space="preserve">Total debt</t>
  </si>
  <si>
    <t xml:space="preserve">Net debt</t>
  </si>
  <si>
    <t xml:space="preserve">Advance ticket sales / revenue</t>
  </si>
  <si>
    <t xml:space="preserve">Source: NCLH Forms 10-K, SEC XBRL company facts (us-gaap). Net debt here excludes exchangeable-note adjustments in company figures.</t>
  </si>
  <si>
    <t xml:space="preserve">Fare Panel: forward fares (allaboarddeals.com, collected Oct 2, 2026), product tests, line policies and peer deposits</t>
  </si>
  <si>
    <t xml:space="preserve">Fare panel: 4,783 itineraries (allaboarddeals.com, Oct 2, 2026). Each value is the itinerary lowest fare vs. its own trailing 90-day average.</t>
  </si>
  <si>
    <t xml:space="preserve">Sections A-G are the raw fare-panel tables, H summarizes the statistics the memo quotes, N-O are line policies and peer deposits. KPI 1 Price Build and KPI 2 Booking Build turn these into model inputs.</t>
  </si>
  <si>
    <t xml:space="preserve">A. Fare change by line, region and sailing window</t>
  </si>
  <si>
    <t xml:space="preserve">Line</t>
  </si>
  <si>
    <t xml:space="preserve">Region</t>
  </si>
  <si>
    <t xml:space="preserve">Sailing window</t>
  </si>
  <si>
    <t xml:space="preserve">Itineraries</t>
  </si>
  <si>
    <t xml:space="preserve">Median vs. 90-day</t>
  </si>
  <si>
    <t xml:space="preserve">Mean vs. 90-day</t>
  </si>
  <si>
    <t xml:space="preserve">Share cut 20%+</t>
  </si>
  <si>
    <t xml:space="preserve">Share at record low</t>
  </si>
  <si>
    <t xml:space="preserve">Median $ per night</t>
  </si>
  <si>
    <t xml:space="preserve">Caribbean/Bahamas</t>
  </si>
  <si>
    <t xml:space="preserve">2028+</t>
  </si>
  <si>
    <t xml:space="preserve">Europe</t>
  </si>
  <si>
    <t xml:space="preserve">Alaska</t>
  </si>
  <si>
    <t xml:space="preserve">Other</t>
  </si>
  <si>
    <t xml:space="preserve">Royal Caribbean</t>
  </si>
  <si>
    <t xml:space="preserve">Carnival</t>
  </si>
  <si>
    <t xml:space="preserve">MSC</t>
  </si>
  <si>
    <t xml:space="preserve">Celebrity</t>
  </si>
  <si>
    <t xml:space="preserve">Princess</t>
  </si>
  <si>
    <t xml:space="preserve">Virgin Voyages</t>
  </si>
  <si>
    <t xml:space="preserve">Regent Seven Seas</t>
  </si>
  <si>
    <t xml:space="preserve">B. All regions: fare change by line and sailing window</t>
  </si>
  <si>
    <t xml:space="preserve">C. Caribbean cruises by length: short Bahamas runs vs. 7+ nights</t>
  </si>
  <si>
    <t xml:space="preserve">Length</t>
  </si>
  <si>
    <t xml:space="preserve">3-5 nights</t>
  </si>
  <si>
    <t xml:space="preserve">7+ nights</t>
  </si>
  <si>
    <t xml:space="preserve">6 nights</t>
  </si>
  <si>
    <t xml:space="preserve">NCL share of 4Q26 Caribbean itineraries that are 7+ nights (eligible for post-payment credits)</t>
  </si>
  <si>
    <t xml:space="preserve">D. Same port, same months: 1H27 Caribbean sailings</t>
  </si>
  <si>
    <t xml:space="preserve">Port</t>
  </si>
  <si>
    <t xml:space="preserve">Baltimore, MD</t>
  </si>
  <si>
    <t xml:space="preserve">Cape Liberty, NJ</t>
  </si>
  <si>
    <t xml:space="preserve">Fort Lauderdale, FL</t>
  </si>
  <si>
    <t xml:space="preserve">Galveston, TX</t>
  </si>
  <si>
    <t xml:space="preserve">Miami, FL</t>
  </si>
  <si>
    <t xml:space="preserve">Mobile, AL</t>
  </si>
  <si>
    <t xml:space="preserve">New Orleans, LA</t>
  </si>
  <si>
    <t xml:space="preserve">New York, NY</t>
  </si>
  <si>
    <t xml:space="preserve">Norfolk, VA</t>
  </si>
  <si>
    <t xml:space="preserve">Philadelphia</t>
  </si>
  <si>
    <t xml:space="preserve">Port Canaveral, FL</t>
  </si>
  <si>
    <t xml:space="preserve">San Juan, PR</t>
  </si>
  <si>
    <t xml:space="preserve">Tampa, FL</t>
  </si>
  <si>
    <t xml:space="preserve">Port Canaveral: NCL price per night vs. Royal Caribbean / vs. Carnival</t>
  </si>
  <si>
    <t xml:space="preserve">E. NCL ships on Caribbean sailings, 4Q26-1H27: newest vs. older ships</t>
  </si>
  <si>
    <t xml:space="preserve">Year built (10-K)</t>
  </si>
  <si>
    <t xml:space="preserve">Prima class</t>
  </si>
  <si>
    <t xml:space="preserve">Average cut: Prima-class ships (2022+)</t>
  </si>
  <si>
    <t xml:space="preserve">Average cut: older ships</t>
  </si>
  <si>
    <t xml:space="preserve">Prima-class share of NCL berth-years, 2024 / 2027 (Fleet Build)</t>
  </si>
  <si>
    <t xml:space="preserve">F. Own private-island sailings vs. other Caribbean sailings (all windows)</t>
  </si>
  <si>
    <t xml:space="preserve">Sailings</t>
  </si>
  <si>
    <t xml:space="preserve">own-island</t>
  </si>
  <si>
    <t xml:space="preserve">other Caribbean</t>
  </si>
  <si>
    <t xml:space="preserve">Island premium: island sailings less other Caribbean sailings, NCL / Royal Caribbean</t>
  </si>
  <si>
    <t xml:space="preserve">G. Trend: NCL itineraries among the industry's 10 largest monthly price drops (tracker market-pulse page, Internet Archive)</t>
  </si>
  <si>
    <t xml:space="preserve">Apr 2026</t>
  </si>
  <si>
    <t xml:space="preserve">NCL itineraries in the top 10</t>
  </si>
  <si>
    <t xml:space="preserve">Tracker 2025 statistics: sailings 101-200 days out with a 5%+ cut, NCL / Royal Caribbean</t>
  </si>
  <si>
    <t xml:space="preserve">H. Summary statistics used in the memo (formulas over sections A-E)</t>
  </si>
  <si>
    <t xml:space="preserve">Statistic</t>
  </si>
  <si>
    <t xml:space="preserve">Caribbean itineraries at their lowest fare on record, all windows: NCL</t>
  </si>
  <si>
    <t xml:space="preserve">Same: Royal Caribbean</t>
  </si>
  <si>
    <t xml:space="preserve">Same: Carnival</t>
  </si>
  <si>
    <t xml:space="preserve">4Q26 Caribbean sailings of 7+ nights cut 20% or more: NCL</t>
  </si>
  <si>
    <t xml:space="preserve">NCL 4Q26 Caribbean 7+ nights: median cut</t>
  </si>
  <si>
    <t xml:space="preserve">Newest ships, Caribbean 4Q26-1H27 sailings, median cut: NCL Aqua and Luna (11 itineraries)</t>
  </si>
  <si>
    <t xml:space="preserve">Same: Royal Star and Legend of the Seas (12 itineraries)</t>
  </si>
  <si>
    <t xml:space="preserve">N. What each line gives a guest whose fare later drops (line policy summary, Apr 2026; ncl.com terms)</t>
  </si>
  <si>
    <t xml:space="preserve">Before final payment</t>
  </si>
  <si>
    <t xml:space="preserve">After final payment</t>
  </si>
  <si>
    <t xml:space="preserve">Norwegian (NCL)</t>
  </si>
  <si>
    <t xml:space="preserve">Move to the lower fare</t>
  </si>
  <si>
    <t xml:space="preserve">Upgrade or future-cruise credit for the full difference (6+ nights, once)</t>
  </si>
  <si>
    <t xml:space="preserve">No formal remedy</t>
  </si>
  <si>
    <t xml:space="preserve">Carnival (Early Saver)</t>
  </si>
  <si>
    <t xml:space="preserve">Balance reduced</t>
  </si>
  <si>
    <t xml:space="preserve">Non-refundable onboard credit</t>
  </si>
  <si>
    <t xml:space="preserve">Onboard credit only within 48 hours of booking</t>
  </si>
  <si>
    <t xml:space="preserve">120% of difference as onboard credit (enrolled)</t>
  </si>
  <si>
    <t xml:space="preserve">No formal protection</t>
  </si>
  <si>
    <t xml:space="preserve">Case by case</t>
  </si>
  <si>
    <t xml:space="preserve">None</t>
  </si>
  <si>
    <t xml:space="preserve">O. Customer deposits y/y: NCLH vs. Royal Caribbean vs. Carnival (Deposits sheet)</t>
  </si>
  <si>
    <t xml:space="preserve">NCLH</t>
  </si>
  <si>
    <t xml:space="preserve">Source: allaboarddeals.com public pages (robots.txt permits), collected Oct 2, 2026; Internet Archive (2025 statistics, market-pulse history); line policy summary (Apr 2026); ncl.com Best Price Guarantee terms; SEC XBRL. Blue = data.</t>
  </si>
  <si>
    <t xml:space="preserve">Customer deposits: the leading indicator of net yield</t>
  </si>
  <si>
    <t xml:space="preserve">Deposits per future berth-day = advance ticket sales / capacity days in the next four quarters. Compared with the same quarter a year earlier.</t>
  </si>
  <si>
    <t xml:space="preserve">Quarter end</t>
  </si>
  <si>
    <t xml:space="preserve">Advance ticket sales ($mm)</t>
  </si>
  <si>
    <t xml:space="preserve">Per future berth-day ($)</t>
  </si>
  <si>
    <t xml:space="preserve">Next-4Q capacity days (M)</t>
  </si>
  <si>
    <t xml:space="preserve">Indicator y/y</t>
  </si>
  <si>
    <t xml:space="preserve">Net yield y/y, next quarter</t>
  </si>
  <si>
    <t xml:space="preserve">Net yield y/y, avg next 2 quarters</t>
  </si>
  <si>
    <t xml:space="preserve">Direction match</t>
  </si>
  <si>
    <t xml:space="preserve">2016-12-31</t>
  </si>
  <si>
    <t xml:space="preserve">2017-03-31</t>
  </si>
  <si>
    <t xml:space="preserve">2017-06-30</t>
  </si>
  <si>
    <t xml:space="preserve">2017-09-30</t>
  </si>
  <si>
    <t xml:space="preserve">2017-12-31</t>
  </si>
  <si>
    <t xml:space="preserve">2018-03-31</t>
  </si>
  <si>
    <t xml:space="preserve">2018-06-30</t>
  </si>
  <si>
    <t xml:space="preserve">2018-09-30</t>
  </si>
  <si>
    <t xml:space="preserve">2018-12-31</t>
  </si>
  <si>
    <t xml:space="preserve">2019-03-31</t>
  </si>
  <si>
    <t xml:space="preserve">2019-06-30</t>
  </si>
  <si>
    <t xml:space="preserve">2024-03-31</t>
  </si>
  <si>
    <t xml:space="preserve">2024-06-30</t>
  </si>
  <si>
    <t xml:space="preserve">2024-09-30</t>
  </si>
  <si>
    <t xml:space="preserve">2025-03-31</t>
  </si>
  <si>
    <t xml:space="preserve">2025-06-30</t>
  </si>
  <si>
    <t xml:space="preserve">2025-09-30</t>
  </si>
  <si>
    <t xml:space="preserve">2026-03-31</t>
  </si>
  <si>
    <t xml:space="preserve">2026-06-30</t>
  </si>
  <si>
    <t xml:space="preserve">Back-test (20 non-COVID quarters; 2020-2023 excluded)</t>
  </si>
  <si>
    <t xml:space="preserve">Correlation with net yield one quarter ahead</t>
  </si>
  <si>
    <t xml:space="preserve">Correlation with net yield, average of next two quarters</t>
  </si>
  <si>
    <t xml:space="preserve">Direction called correctly (share of quarters)</t>
  </si>
  <si>
    <t xml:space="preserve">Quarters in sample</t>
  </si>
  <si>
    <t xml:space="preserve">Correlation, 2016-2019 only</t>
  </si>
  <si>
    <t xml:space="preserve">Correlation, 2024-2026 only</t>
  </si>
  <si>
    <t xml:space="preserve">Latest reading (Jun 30, 2026)</t>
  </si>
  <si>
    <t xml:space="preserve">Total customer deposits ($mm) and growth y/y: NCLH vs. Royal Caribbean vs. Carnival</t>
  </si>
  <si>
    <t xml:space="preserve">y/y</t>
  </si>
  <si>
    <t xml:space="preserve">Carnival (fiscal qtr end)</t>
  </si>
  <si>
    <t xml:space="preserve">2022-03-31</t>
  </si>
  <si>
    <t xml:space="preserve">2022-02-28</t>
  </si>
  <si>
    <t xml:space="preserve">2022-06-30</t>
  </si>
  <si>
    <t xml:space="preserve">2022-05-31</t>
  </si>
  <si>
    <t xml:space="preserve">2022-09-30</t>
  </si>
  <si>
    <t xml:space="preserve">2022-08-31</t>
  </si>
  <si>
    <t xml:space="preserve">2022-12-31</t>
  </si>
  <si>
    <t xml:space="preserve">2022-11-30</t>
  </si>
  <si>
    <t xml:space="preserve">2023-03-31</t>
  </si>
  <si>
    <t xml:space="preserve">2023-02-28</t>
  </si>
  <si>
    <t xml:space="preserve">2023-06-30</t>
  </si>
  <si>
    <t xml:space="preserve">2023-05-31</t>
  </si>
  <si>
    <t xml:space="preserve">2023-09-30</t>
  </si>
  <si>
    <t xml:space="preserve">2023-08-31</t>
  </si>
  <si>
    <t xml:space="preserve">2023-12-31</t>
  </si>
  <si>
    <t xml:space="preserve">2023-11-30</t>
  </si>
  <si>
    <t xml:space="preserve">2024-02-29</t>
  </si>
  <si>
    <t xml:space="preserve">2024-05-31</t>
  </si>
  <si>
    <t xml:space="preserve">2024-08-31</t>
  </si>
  <si>
    <t xml:space="preserve">2024-11-30</t>
  </si>
  <si>
    <t xml:space="preserve">2025-02-28</t>
  </si>
  <si>
    <t xml:space="preserve">2025-05-31</t>
  </si>
  <si>
    <t xml:space="preserve">2025-08-31</t>
  </si>
  <si>
    <t xml:space="preserve">2025-11-30</t>
  </si>
  <si>
    <t xml:space="preserve">2026-02-28</t>
  </si>
  <si>
    <t xml:space="preserve">2026-05-31</t>
  </si>
  <si>
    <t xml:space="preserve">2026-09-30</t>
  </si>
  <si>
    <t xml:space="preserve">2026-08-31</t>
  </si>
  <si>
    <t xml:space="preserve">First-half deposit build, NCLH ($mm): 2026</t>
  </si>
  <si>
    <t xml:space="preserve">2025</t>
  </si>
  <si>
    <t xml:space="preserve">Forecast: September 30, 2026 advance ticket sales (reported in the 3Q26 10-Q, ~Nov 4)</t>
  </si>
  <si>
    <t xml:space="preserve">June 30, 2026 balance ($mm)</t>
  </si>
  <si>
    <t xml:space="preserve">September 30, 2025 balance ($mm)</t>
  </si>
  <si>
    <t xml:space="preserve">Seasonal ratio, Sept / June, 2025</t>
  </si>
  <si>
    <t xml:space="preserve">Seasonal ratio, Sept / June, 2024</t>
  </si>
  <si>
    <t xml:space="preserve">Seasonal forecast (2025 ratio) ($mm)</t>
  </si>
  <si>
    <t xml:space="preserve">Growth y/y, 1Q26 / 2Q26</t>
  </si>
  <si>
    <t xml:space="preserve">Momentum forecast: 2Q26 growth plus its last change ($mm)</t>
  </si>
  <si>
    <t xml:space="preserve">Point forecast: average of seasonal and momentum ($mm)</t>
  </si>
  <si>
    <t xml:space="preserve">Implied growth y/y</t>
  </si>
  <si>
    <t xml:space="preserve">Confirms the thesis if below ($mm)</t>
  </si>
  <si>
    <t xml:space="preserve">Thesis wrong if at or above ($mm)</t>
  </si>
  <si>
    <t xml:space="preserve">Source: SEC XBRL (NCLH, RCL, CCL customer deposits / contract liabilities); NCLH 8-K capacity days; 2Q26 10-Q cash flow statement. Team calculation.</t>
  </si>
  <si>
    <t xml:space="preserve">Why it sold off: factor vs. company-specific, and short positioning</t>
  </si>
  <si>
    <t xml:space="preserve">One-year returns to Oct 1, 2026</t>
  </si>
  <si>
    <t xml:space="preserve">Brent</t>
  </si>
  <si>
    <t xml:space="preserve">Return</t>
  </si>
  <si>
    <t xml:space="preserve">Regression of NCLH daily returns (Sept 2025 - Sept 2026), contribution in log points</t>
  </si>
  <si>
    <t xml:space="preserve">Market</t>
  </si>
  <si>
    <t xml:space="preserve">Oil (Brent)</t>
  </si>
  <si>
    <t xml:space="preserve">Cruise peers (RCL, CCL)</t>
  </si>
  <si>
    <t xml:space="preserve">NCL-specific (residual)</t>
  </si>
  <si>
    <t xml:space="preserve">Total</t>
  </si>
  <si>
    <t xml:space="preserve">Share shared with the group (market + oil + peers)</t>
  </si>
  <si>
    <t xml:space="preserve">Share NCL-specific</t>
  </si>
  <si>
    <t xml:space="preserve">Company news days: NCLH return less average of RCL and CCL (pts)</t>
  </si>
  <si>
    <t xml:space="preserve">Event</t>
  </si>
  <si>
    <t xml:space="preserve">Day (pts)</t>
  </si>
  <si>
    <t xml:space="preserve">Next 20 days vs peers (pts)</t>
  </si>
  <si>
    <t xml:space="preserve">Nov 4, 2025</t>
  </si>
  <si>
    <t xml:space="preserve">3Q25 report / 2026 outlook</t>
  </si>
  <si>
    <t xml:space="preserve">Feb 13, 2026</t>
  </si>
  <si>
    <t xml:space="preserve">CEO change</t>
  </si>
  <si>
    <t xml:space="preserve">Feb 17, 2026</t>
  </si>
  <si>
    <t xml:space="preserve">Elliott discloses &gt;10% stake</t>
  </si>
  <si>
    <t xml:space="preserve">Mar 2, 2026</t>
  </si>
  <si>
    <t xml:space="preserve">FY26 guidance</t>
  </si>
  <si>
    <t xml:space="preserve">May 4, 2026</t>
  </si>
  <si>
    <t xml:space="preserve">Guidance cut</t>
  </si>
  <si>
    <t xml:space="preserve">Jul 30, 2026</t>
  </si>
  <si>
    <t xml:space="preserve">Sep 29, 2026</t>
  </si>
  <si>
    <t xml:space="preserve">Carnival record-bookings day</t>
  </si>
  <si>
    <t xml:space="preserve">Average 20-day drift after the four guidance events (pts)</t>
  </si>
  <si>
    <t xml:space="preserve">Oil sensitivity and the May-June test</t>
  </si>
  <si>
    <t xml:space="preserve">10 largest daily Brent declines: avg Brent move</t>
  </si>
  <si>
    <t xml:space="preserve">   NCLH avg move on those days</t>
  </si>
  <si>
    <t xml:space="preserve">   Carnival avg move</t>
  </si>
  <si>
    <t xml:space="preserve">   Royal Caribbean avg move</t>
  </si>
  <si>
    <t xml:space="preserve">May 19 - Jun 29, 2026: Brent</t>
  </si>
  <si>
    <t xml:space="preserve">   NCLH</t>
  </si>
  <si>
    <t xml:space="preserve">   Royal Caribbean</t>
  </si>
  <si>
    <t xml:space="preserve">   Carnival</t>
  </si>
  <si>
    <t xml:space="preserve">NCLH relative to peers (9/30/25 = 100): May 19</t>
  </si>
  <si>
    <t xml:space="preserve">   Jun 29 (after oil rally)</t>
  </si>
  <si>
    <t xml:space="preserve">   Oct 1 (after July cut)</t>
  </si>
  <si>
    <t xml:space="preserve">Short interest (FINRA via MarketBeat)</t>
  </si>
  <si>
    <t xml:space="preserve">Settlement date</t>
  </si>
  <si>
    <t xml:space="preserve">Shares short (M)</t>
  </si>
  <si>
    <t xml:space="preserve">% of float</t>
  </si>
  <si>
    <t xml:space="preserve">Days to cover</t>
  </si>
  <si>
    <t xml:space="preserve">Change (M)</t>
  </si>
  <si>
    <t xml:space="preserve">Avg NCLH price in interval</t>
  </si>
  <si>
    <t xml:space="preserve">Feb 27, 2026</t>
  </si>
  <si>
    <t xml:space="preserve">Mar 13, 2026</t>
  </si>
  <si>
    <t xml:space="preserve">Mar 31, 2026</t>
  </si>
  <si>
    <t xml:space="preserve">Apr 15, 2026</t>
  </si>
  <si>
    <t xml:space="preserve">Apr 30, 2026</t>
  </si>
  <si>
    <t xml:space="preserve">May 15, 2026</t>
  </si>
  <si>
    <t xml:space="preserve">May 29, 2026</t>
  </si>
  <si>
    <t xml:space="preserve">Jun 15, 2026</t>
  </si>
  <si>
    <t xml:space="preserve">Jun 30, 2026</t>
  </si>
  <si>
    <t xml:space="preserve">Jul 15, 2026</t>
  </si>
  <si>
    <t xml:space="preserve">Jul 31, 2026</t>
  </si>
  <si>
    <t xml:space="preserve">Aug 14, 2026</t>
  </si>
  <si>
    <t xml:space="preserve">Aug 31, 2026</t>
  </si>
  <si>
    <t xml:space="preserve">Sep 15, 2026</t>
  </si>
  <si>
    <t xml:space="preserve">Average price at which shares were added (adds only)</t>
  </si>
  <si>
    <t xml:space="preserve">Source: Nasdaq daily prices; FRED (Brent); Kenneth French Data Library; FINRA short interest via MarketBeat. Team regression.</t>
  </si>
  <si>
    <t xml:space="preserve">EV / TTM EBITDA vs. net yield growth, quarterly (COVID quarters and 2023 excluded)</t>
  </si>
  <si>
    <t xml:space="preserve">Shares (M)</t>
  </si>
  <si>
    <t xml:space="preserve">Net debt ($mm)</t>
  </si>
  <si>
    <t xml:space="preserve">TTM EBITDA ($mm)</t>
  </si>
  <si>
    <t xml:space="preserve">EV ($mm)</t>
  </si>
  <si>
    <t xml:space="preserve">EV / TTM EBITDA</t>
  </si>
  <si>
    <t xml:space="preserve">2019-09-30</t>
  </si>
  <si>
    <t xml:space="preserve">2019-12-31</t>
  </si>
  <si>
    <t xml:space="preserve">Correlation of EV / TTM EBITDA with net yield growth</t>
  </si>
  <si>
    <t xml:space="preserve">2024-2026 (post-COVID)</t>
  </si>
  <si>
    <t xml:space="preserve">2016-2019</t>
  </si>
  <si>
    <t xml:space="preserve">All quarters</t>
  </si>
  <si>
    <t xml:space="preserve">Source: SEC XBRL (operating income + D&amp;A, debt, cash, weighted shares); Nasdaq daily closes; NCLH 8-K net yield (constant currency). GAAP EBITDA; Q4 flows = FY less 9M.</t>
  </si>
  <si>
    <t xml:space="preserve">Data for memo exhibits</t>
  </si>
  <si>
    <t xml:space="preserve">Exhibit 1: median fare vs. 90-day average</t>
  </si>
  <si>
    <t xml:space="preserve">Caribbean 1H27: NCL</t>
  </si>
  <si>
    <t xml:space="preserve">Caribbean 1H27: Royal Caribbean</t>
  </si>
  <si>
    <t xml:space="preserve">Caribbean 1H27: Carnival</t>
  </si>
  <si>
    <t xml:space="preserve">Europe 1H27: NCL</t>
  </si>
  <si>
    <t xml:space="preserve">Europe 1H27: Celebrity</t>
  </si>
  <si>
    <t xml:space="preserve">Own-island sailings: NCL</t>
  </si>
  <si>
    <t xml:space="preserve">Own-island sailings: Royal Caribbean</t>
  </si>
  <si>
    <t xml:space="preserve">Newest ships, Caribbean: NCL Aqua/Luna</t>
  </si>
  <si>
    <t xml:space="preserve">Newest ships, Caribbean: Royal Star/Legend</t>
  </si>
  <si>
    <t xml:space="preserve">Exhibit 2: deposits per future berth vs. net yield (y/y)</t>
  </si>
  <si>
    <t xml:space="preserve">Deposits per future berth</t>
  </si>
  <si>
    <t xml:space="preserve">Net yield</t>
  </si>
  <si>
    <t xml:space="preserve">Dec-24</t>
  </si>
  <si>
    <t xml:space="preserve">Mar-25</t>
  </si>
  <si>
    <t xml:space="preserve">Jun-25</t>
  </si>
  <si>
    <t xml:space="preserve">Sep-25</t>
  </si>
  <si>
    <t xml:space="preserve">Dec-25</t>
  </si>
  <si>
    <t xml:space="preserve">Mar-26</t>
  </si>
  <si>
    <t xml:space="preserve">Jun-26</t>
  </si>
  <si>
    <t xml:space="preserve">Sep-26 (guide)</t>
  </si>
  <si>
    <t xml:space="preserve">Dec-26 (implied)</t>
  </si>
  <si>
    <t xml:space="preserve">Exhibit 3: NCLH relative to Royal/Carnival average (9/30/25 = 100)</t>
  </si>
  <si>
    <t xml:space="preserve">Daily series: exhibit_relative_performance_daily.csv (Nasdaq prices). Key points below.</t>
  </si>
  <si>
    <t xml:space="preserve">Sep 30, 2025</t>
  </si>
  <si>
    <t xml:space="preserve">May 18, 2026 (low before oil rally)</t>
  </si>
  <si>
    <t xml:space="preserve">Jun 29, 2026 (after oil rally)</t>
  </si>
  <si>
    <t xml:space="preserve">Jul 30, 2026 (guide cut)</t>
  </si>
  <si>
    <t xml:space="preserve">Oct 1, 2026</t>
  </si>
  <si>
    <t xml:space="preserve">Exhibit: KPIs by quarter, consensus case vs. ours (memo chart)</t>
  </si>
  <si>
    <t xml:space="preserve">Ticket price y/y, consensus case</t>
  </si>
  <si>
    <t xml:space="preserve">Ticket price y/y, ours</t>
  </si>
  <si>
    <t xml:space="preserve">Occupancy y/y (pts), consensus case</t>
  </si>
  <si>
    <t xml:space="preserve">Occupancy y/y (pts), ours</t>
  </si>
  <si>
    <t xml:space="preserve">Exhibit: price-implied EBITDA ($mm)</t>
  </si>
  <si>
    <t xml:space="preserve">2025 actual</t>
  </si>
  <si>
    <t xml:space="preserve">March 2026 guide (2026)</t>
  </si>
  <si>
    <t xml:space="preserve">Price-implied at 9%</t>
  </si>
  <si>
    <t xml:space="preserve">Average target needs</t>
  </si>
  <si>
    <t xml:space="preserve">Street 2027</t>
  </si>
  <si>
    <t xml:space="preserve">Ours 2027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</si>
</sst>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\$#,##0.00_);&quot;($&quot;#,##0.00\)"/>
    <numFmt numFmtId="166" formatCode="0.0%;\(0.0%\)"/>
    <numFmt numFmtId="167" formatCode="#,##0_);\(#,##0\)"/>
    <numFmt numFmtId="168" formatCode="#,##0_);\(#,##0\)"/>
    <numFmt numFmtId="169" formatCode="\+0.0;\-0.0;0.0"/>
    <numFmt numFmtId="170" formatCode="0.00%;\(0.00%\)"/>
    <numFmt numFmtId="171" formatCode="#,##0.0_);\(#,##0.0\)"/>
    <numFmt numFmtId="172" formatCode="\$#,##0"/>
    <numFmt numFmtId="173" formatCode="\$0.000"/>
    <numFmt numFmtId="174" formatCode="0.00"/>
    <numFmt numFmtId="175" formatCode="0.0\x"/>
    <numFmt numFmtId="176" formatCode="#,##0.000"/>
    <numFmt numFmtId="177" formatCode="0.0"/>
    <numFmt numFmtId="178" formatCode="0"/>
    <numFmt numFmtId="179" formatCode="0.0000"/>
    <numFmt numFmtId="180" formatCode="#,##0"/>
    <numFmt numFmtId="181" formatCode="0.000"/>
    <numFmt numFmtId="182" formatCode="\$#,##0_);&quot;($&quot;#,##0\)"/>
    <numFmt numFmtId="183" formatCode="yyyy\-mm\-dd"/>
    <numFmt numFmtId="184" formatCode="\+0.0;\-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404040"/>
        <bgColor rgb="FF333300"/>
      </patternFill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I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67" activeCellId="0" sqref="N67"/>
    </sheetView>
  </sheetViews>
  <sheetFormatPr defaultColWidth="8.8320312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4"/>
    <col collapsed="false" customWidth="true" hidden="false" outlineLevel="0" max="5" min="4" style="0" width="2"/>
    <col collapsed="false" customWidth="true" hidden="false" outlineLevel="0" max="9" min="9" style="0" width="14"/>
  </cols>
  <sheetData>
    <row r="4" customFormat="false" ht="21" hidden="false" customHeight="true" outlineLevel="0" collapsed="false">
      <c r="C4" s="1" t="s">
        <v>0</v>
      </c>
    </row>
    <row r="5" customFormat="false" ht="15" hidden="false" customHeight="false" outlineLevel="0" collapsed="false">
      <c r="C5" s="2" t="s">
        <v>1</v>
      </c>
    </row>
    <row r="6" customFormat="false" ht="15" hidden="false" customHeight="false" outlineLevel="0" collapsed="false">
      <c r="C6" s="2" t="s">
        <v>2</v>
      </c>
    </row>
    <row r="7" customFormat="false" ht="15" hidden="false" customHeight="false" outlineLevel="0" collapsed="false">
      <c r="C7" s="3" t="s">
        <v>3</v>
      </c>
    </row>
    <row r="9" customFormat="false" ht="15" hidden="false" customHeight="false" outlineLevel="0" collapsed="false">
      <c r="C9" s="4" t="s">
        <v>4</v>
      </c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C10" s="2" t="s">
        <v>5</v>
      </c>
      <c r="I10" s="6" t="n">
        <f aca="false">DCF!I2</f>
        <v>15.05</v>
      </c>
    </row>
    <row r="11" customFormat="false" ht="15" hidden="false" customHeight="false" outlineLevel="0" collapsed="false">
      <c r="C11" s="2" t="s">
        <v>6</v>
      </c>
      <c r="I11" s="6" t="n">
        <f aca="false">DCF!L34</f>
        <v>10.8339776834401</v>
      </c>
    </row>
    <row r="12" customFormat="false" ht="15" hidden="false" customHeight="false" outlineLevel="0" collapsed="false">
      <c r="C12" s="2" t="s">
        <v>7</v>
      </c>
      <c r="I12" s="6" t="n">
        <f aca="false">DCF!G44</f>
        <v>11.9644275886015</v>
      </c>
    </row>
    <row r="13" customFormat="false" ht="15" hidden="false" customHeight="false" outlineLevel="0" collapsed="false">
      <c r="C13" s="2" t="s">
        <v>8</v>
      </c>
      <c r="I13" s="7" t="n">
        <f aca="false">DCF!G45</f>
        <v>-0.205021422684284</v>
      </c>
    </row>
    <row r="14" customFormat="false" ht="15" hidden="false" customHeight="false" outlineLevel="0" collapsed="false">
      <c r="C14" s="2" t="s">
        <v>9</v>
      </c>
      <c r="I14" s="6" t="n">
        <f aca="false">DCF!L46</f>
        <v>8.10769949756383</v>
      </c>
    </row>
    <row r="15" customFormat="false" ht="15" hidden="false" customHeight="false" outlineLevel="0" collapsed="false">
      <c r="C15" s="2" t="s">
        <v>10</v>
      </c>
      <c r="I15" s="7" t="n">
        <f aca="false">'Operating Model'!I32</f>
        <v>-0.00727731321210889</v>
      </c>
    </row>
    <row r="16" customFormat="false" ht="15" hidden="false" customHeight="false" outlineLevel="0" collapsed="false">
      <c r="C16" s="2" t="s">
        <v>11</v>
      </c>
      <c r="I16" s="8" t="n">
        <f aca="false">'Operating Model'!I52</f>
        <v>2472.38906149484</v>
      </c>
    </row>
    <row r="17" customFormat="false" ht="15" hidden="false" customHeight="false" outlineLevel="0" collapsed="false">
      <c r="C17" s="2" t="s">
        <v>12</v>
      </c>
      <c r="I17" s="8" t="n">
        <f aca="false">Consensus!C57</f>
        <v>2693.22</v>
      </c>
    </row>
    <row r="18" customFormat="false" ht="15" hidden="false" customHeight="false" outlineLevel="0" collapsed="false">
      <c r="C18" s="2" t="s">
        <v>13</v>
      </c>
      <c r="I18" s="6" t="n">
        <f aca="false">'Operating Model'!I63</f>
        <v>0.951376137907596</v>
      </c>
    </row>
    <row r="19" customFormat="false" ht="15" hidden="false" customHeight="false" outlineLevel="0" collapsed="false">
      <c r="C19" s="2" t="s">
        <v>14</v>
      </c>
      <c r="I19" s="6" t="n">
        <f aca="false">Consensus!D8</f>
        <v>1.46</v>
      </c>
    </row>
    <row r="20" customFormat="false" ht="15" hidden="false" customHeight="false" outlineLevel="0" collapsed="false">
      <c r="C20" s="2"/>
      <c r="I20" s="6" t="n">
        <f aca="false">Consensus!D7</f>
        <v>1.67</v>
      </c>
    </row>
    <row r="21" customFormat="false" ht="15" hidden="false" customHeight="false" outlineLevel="0" collapsed="false">
      <c r="C21" s="9" t="s">
        <v>15</v>
      </c>
      <c r="I21" s="10" t="n">
        <f aca="false">DCF!E31</f>
        <v>3038.972855</v>
      </c>
    </row>
    <row r="22" customFormat="false" ht="15" hidden="false" customHeight="false" outlineLevel="0" collapsed="false">
      <c r="C22" s="2" t="s">
        <v>16</v>
      </c>
      <c r="I22" s="8" t="n">
        <f aca="false">Consensus!C67</f>
        <v>2912.60590143209</v>
      </c>
    </row>
    <row r="23" customFormat="false" ht="15" hidden="false" customHeight="false" outlineLevel="0" collapsed="false">
      <c r="C23" s="2" t="s">
        <v>17</v>
      </c>
      <c r="I23" s="8" t="n">
        <f aca="false">Deposits!C70</f>
        <v>2940.21973633837</v>
      </c>
    </row>
    <row r="24" customFormat="false" ht="15" hidden="false" customHeight="false" outlineLevel="0" collapsed="false">
      <c r="C24" s="9" t="s">
        <v>18</v>
      </c>
      <c r="H24" s="11" t="n">
        <f aca="false">AVERAGE('Net Yield Build'!N24:O24)</f>
        <v>-0.0108108003298918</v>
      </c>
      <c r="I24" s="11" t="n">
        <f aca="false">AVERAGE('Net Yield Build'!N51:O51)</f>
        <v>-0.0260717938918407</v>
      </c>
    </row>
    <row r="25" customFormat="false" ht="15" hidden="false" customHeight="false" outlineLevel="0" collapsed="false">
      <c r="C25" s="12" t="s">
        <v>19</v>
      </c>
      <c r="D25" s="5"/>
      <c r="E25" s="5"/>
      <c r="F25" s="5"/>
      <c r="G25" s="5"/>
      <c r="H25" s="13" t="n">
        <f aca="false">'Net Yield Build'!U20</f>
        <v>1.03064239726635</v>
      </c>
      <c r="I25" s="13" t="n">
        <f aca="false">'Net Yield Build'!U47</f>
        <v>1.02064239726635</v>
      </c>
    </row>
    <row r="26" customFormat="false" ht="15" hidden="false" customHeight="false" outlineLevel="0" collapsed="false">
      <c r="C26" s="14"/>
    </row>
    <row r="27" customFormat="false" ht="15" hidden="false" customHeight="false" outlineLevel="0" collapsed="false">
      <c r="C27" s="15" t="s">
        <v>20</v>
      </c>
    </row>
    <row r="28" customFormat="false" ht="15" hidden="false" customHeight="false" outlineLevel="0" collapsed="false">
      <c r="C28" s="16" t="s">
        <v>21</v>
      </c>
    </row>
    <row r="29" customFormat="false" ht="15" hidden="false" customHeight="false" outlineLevel="0" collapsed="false">
      <c r="C29" s="17" t="s">
        <v>22</v>
      </c>
    </row>
    <row r="30" customFormat="false" ht="15" hidden="false" customHeight="false" outlineLevel="0" collapsed="false">
      <c r="C30" s="2" t="s">
        <v>23</v>
      </c>
    </row>
    <row r="31" customFormat="false" ht="15" hidden="false" customHeight="false" outlineLevel="0" collapsed="false">
      <c r="C31" s="18" t="s">
        <v>24</v>
      </c>
      <c r="D31" s="5"/>
      <c r="E31" s="5"/>
      <c r="F31" s="5"/>
      <c r="G31" s="5"/>
      <c r="H31" s="5"/>
      <c r="I31" s="5"/>
    </row>
    <row r="32" customFormat="false" ht="15" hidden="false" customHeight="false" outlineLevel="0" collapsed="false">
      <c r="C32" s="19"/>
      <c r="E32" s="9"/>
    </row>
    <row r="33" customFormat="false" ht="15" hidden="false" customHeight="false" outlineLevel="0" collapsed="false">
      <c r="C33" s="3" t="s">
        <v>25</v>
      </c>
      <c r="E33" s="9"/>
    </row>
    <row r="34" customFormat="false" ht="15" hidden="false" customHeight="false" outlineLevel="0" collapsed="false">
      <c r="C34" s="2" t="s">
        <v>26</v>
      </c>
      <c r="E34" s="2" t="s">
        <v>27</v>
      </c>
    </row>
    <row r="35" customFormat="false" ht="15" hidden="false" customHeight="false" outlineLevel="0" collapsed="false">
      <c r="C35" s="2" t="s">
        <v>28</v>
      </c>
      <c r="E35" s="2" t="s">
        <v>29</v>
      </c>
    </row>
    <row r="36" customFormat="false" ht="15" hidden="false" customHeight="false" outlineLevel="0" collapsed="false">
      <c r="C36" s="2" t="s">
        <v>30</v>
      </c>
      <c r="E36" s="2" t="s">
        <v>31</v>
      </c>
    </row>
    <row r="37" customFormat="false" ht="15" hidden="false" customHeight="false" outlineLevel="0" collapsed="false">
      <c r="C37" s="2" t="s">
        <v>32</v>
      </c>
      <c r="E37" s="2" t="s">
        <v>33</v>
      </c>
    </row>
    <row r="38" customFormat="false" ht="15" hidden="false" customHeight="false" outlineLevel="0" collapsed="false">
      <c r="C38" s="2" t="s">
        <v>34</v>
      </c>
      <c r="E38" s="2" t="s">
        <v>35</v>
      </c>
    </row>
    <row r="39" customFormat="false" ht="15" hidden="false" customHeight="false" outlineLevel="0" collapsed="false">
      <c r="C39" s="2" t="s">
        <v>36</v>
      </c>
      <c r="E39" s="2" t="s">
        <v>37</v>
      </c>
    </row>
    <row r="40" customFormat="false" ht="15" hidden="false" customHeight="false" outlineLevel="0" collapsed="false">
      <c r="C40" s="2" t="s">
        <v>38</v>
      </c>
      <c r="E40" s="2" t="s">
        <v>39</v>
      </c>
    </row>
    <row r="41" customFormat="false" ht="15" hidden="false" customHeight="false" outlineLevel="0" collapsed="false">
      <c r="C41" s="2" t="s">
        <v>40</v>
      </c>
      <c r="E41" s="2" t="s">
        <v>41</v>
      </c>
    </row>
    <row r="42" customFormat="false" ht="15" hidden="false" customHeight="false" outlineLevel="0" collapsed="false">
      <c r="C42" s="2" t="s">
        <v>42</v>
      </c>
      <c r="E42" s="2" t="s">
        <v>43</v>
      </c>
    </row>
    <row r="43" customFormat="false" ht="15" hidden="false" customHeight="false" outlineLevel="0" collapsed="false">
      <c r="C43" s="2" t="s">
        <v>44</v>
      </c>
      <c r="E43" s="2" t="s">
        <v>45</v>
      </c>
    </row>
    <row r="44" customFormat="false" ht="15" hidden="false" customHeight="false" outlineLevel="0" collapsed="false">
      <c r="C44" s="2" t="s">
        <v>46</v>
      </c>
      <c r="E44" s="2" t="s">
        <v>47</v>
      </c>
    </row>
    <row r="45" customFormat="false" ht="15" hidden="false" customHeight="false" outlineLevel="0" collapsed="false">
      <c r="C45" s="2" t="s">
        <v>48</v>
      </c>
      <c r="E45" s="2" t="s">
        <v>49</v>
      </c>
    </row>
    <row r="46" customFormat="false" ht="15" hidden="false" customHeight="false" outlineLevel="0" collapsed="false">
      <c r="C46" s="2" t="s">
        <v>50</v>
      </c>
      <c r="E46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9" min="9" style="0" width="13"/>
  </cols>
  <sheetData>
    <row r="2" customFormat="false" ht="15" hidden="false" customHeight="false" outlineLevel="0" collapsed="false">
      <c r="B2" s="20" t="s">
        <v>52</v>
      </c>
      <c r="C2" s="21"/>
      <c r="D2" s="21"/>
      <c r="E2" s="21"/>
      <c r="F2" s="21"/>
      <c r="G2" s="21"/>
      <c r="H2" s="21"/>
      <c r="I2" s="21"/>
    </row>
    <row r="3" customFormat="false" ht="15" hidden="false" customHeight="false" outlineLevel="0" collapsed="false">
      <c r="B3" s="22" t="s">
        <v>53</v>
      </c>
    </row>
    <row r="5" customFormat="false" ht="15" hidden="false" customHeight="false" outlineLevel="0" collapsed="false">
      <c r="B5" s="19" t="s">
        <v>54</v>
      </c>
      <c r="C5" s="23" t="s">
        <v>55</v>
      </c>
      <c r="D5" s="23" t="s">
        <v>56</v>
      </c>
      <c r="E5" s="23" t="s">
        <v>57</v>
      </c>
    </row>
    <row r="6" customFormat="false" ht="15" hidden="false" customHeight="false" outlineLevel="0" collapsed="false">
      <c r="B6" s="19" t="s">
        <v>58</v>
      </c>
      <c r="C6" s="24" t="n">
        <f aca="false">'Net Yield Build'!U20</f>
        <v>1.03064239726635</v>
      </c>
      <c r="D6" s="24" t="n">
        <f aca="false">'Net Yield Build'!U47</f>
        <v>1.02064239726635</v>
      </c>
      <c r="E6" s="25" t="n">
        <f aca="false">(D6-C6)*100</f>
        <v>-0.999999999999979</v>
      </c>
    </row>
    <row r="7" customFormat="false" ht="15" hidden="false" customHeight="false" outlineLevel="0" collapsed="false">
      <c r="B7" s="19" t="s">
        <v>59</v>
      </c>
      <c r="C7" s="26" t="n">
        <f aca="false">'Net Yield Build'!U25</f>
        <v>248.403818849797</v>
      </c>
      <c r="D7" s="26" t="n">
        <f aca="false">'Net Yield Build'!U52</f>
        <v>243.986342845502</v>
      </c>
      <c r="E7" s="11" t="n">
        <f aca="false">D7/C7-1</f>
        <v>-0.0177834464250579</v>
      </c>
    </row>
    <row r="8" customFormat="false" ht="15" hidden="false" customHeight="false" outlineLevel="0" collapsed="false">
      <c r="B8" s="9" t="s">
        <v>60</v>
      </c>
      <c r="C8" s="26" t="n">
        <f aca="false">'Net Yield Build'!U26</f>
        <v>131.446469061869</v>
      </c>
      <c r="D8" s="26" t="n">
        <f aca="false">'Net Yield Build'!U53</f>
        <v>129.540032048866</v>
      </c>
      <c r="E8" s="11" t="n">
        <f aca="false">D8/C8-1</f>
        <v>-0.0145035239562459</v>
      </c>
    </row>
    <row r="9" customFormat="false" ht="15" hidden="false" customHeight="false" outlineLevel="0" collapsed="false">
      <c r="B9" s="9" t="s">
        <v>61</v>
      </c>
      <c r="C9" s="26" t="n">
        <f aca="false">'Net Yield Build'!U29</f>
        <v>283.894723406841</v>
      </c>
      <c r="D9" s="26" t="n">
        <f aca="false">'Net Yield Build'!U56</f>
        <v>279.178955962874</v>
      </c>
      <c r="E9" s="11" t="n">
        <f aca="false">D9/C9-1</f>
        <v>-0.0166109725019757</v>
      </c>
    </row>
    <row r="10" customFormat="false" ht="15" hidden="false" customHeight="false" outlineLevel="0" collapsed="false">
      <c r="B10" s="9" t="s">
        <v>62</v>
      </c>
      <c r="C10" s="26" t="n">
        <f aca="false">'Net Yield Build'!U30</f>
        <v>292.593938303293</v>
      </c>
      <c r="D10" s="26" t="n">
        <f aca="false">'Net Yield Build'!U57</f>
        <v>284.941878880263</v>
      </c>
      <c r="E10" s="11" t="n">
        <f aca="false">D10/C10-1</f>
        <v>-0.0261524878724509</v>
      </c>
    </row>
    <row r="11" customFormat="false" ht="15" hidden="false" customHeight="false" outlineLevel="0" collapsed="false">
      <c r="B11" s="9" t="s">
        <v>63</v>
      </c>
      <c r="C11" s="24" t="n">
        <f aca="false">'Net Yield Build'!U31</f>
        <v>0.0157025523949459</v>
      </c>
      <c r="D11" s="24" t="n">
        <f aca="false">'Net Yield Build'!U58</f>
        <v>-0.00727731321210889</v>
      </c>
      <c r="E11" s="25" t="n">
        <f aca="false">(D11-C11)*100</f>
        <v>-2.29798656070548</v>
      </c>
    </row>
    <row r="12" customFormat="false" ht="15" hidden="false" customHeight="false" outlineLevel="0" collapsed="false">
      <c r="B12" s="19" t="s">
        <v>64</v>
      </c>
      <c r="C12" s="10" t="n">
        <f aca="false">DCF!E41</f>
        <v>2787.03398103508</v>
      </c>
      <c r="D12" s="10" t="n">
        <f aca="false">DCF!E42</f>
        <v>2472.38906149484</v>
      </c>
      <c r="E12" s="11" t="n">
        <f aca="false">D12/C12-1</f>
        <v>-0.112895975320469</v>
      </c>
    </row>
    <row r="14" customFormat="false" ht="15" hidden="false" customHeight="false" outlineLevel="0" collapsed="false">
      <c r="B14" s="19" t="s">
        <v>65</v>
      </c>
      <c r="C14" s="23" t="s">
        <v>66</v>
      </c>
      <c r="D14" s="23" t="s">
        <v>67</v>
      </c>
      <c r="E14" s="23" t="s">
        <v>68</v>
      </c>
      <c r="F14" s="23" t="s">
        <v>69</v>
      </c>
      <c r="G14" s="23" t="s">
        <v>70</v>
      </c>
      <c r="H14" s="23" t="s">
        <v>71</v>
      </c>
    </row>
    <row r="15" customFormat="false" ht="15" hidden="false" customHeight="false" outlineLevel="0" collapsed="false">
      <c r="B15" s="9" t="s">
        <v>72</v>
      </c>
      <c r="C15" s="24" t="n">
        <f aca="false">'Net Yield Build'!L24</f>
        <v>-0.0995</v>
      </c>
      <c r="D15" s="24" t="n">
        <f aca="false">'Net Yield Build'!M24</f>
        <v>-0.0603</v>
      </c>
      <c r="E15" s="24" t="n">
        <f aca="false">'Net Yield Build'!N24</f>
        <v>-0.0135598341696066</v>
      </c>
      <c r="F15" s="24" t="n">
        <f aca="false">'Net Yield Build'!O24</f>
        <v>-0.00806176649017699</v>
      </c>
      <c r="G15" s="24" t="n">
        <f aca="false">'Net Yield Build'!P24</f>
        <v>0.00390929026708935</v>
      </c>
      <c r="H15" s="24" t="n">
        <f aca="false">'Net Yield Build'!Q24</f>
        <v>0.00296992558935462</v>
      </c>
    </row>
    <row r="16" customFormat="false" ht="15" hidden="false" customHeight="false" outlineLevel="0" collapsed="false">
      <c r="B16" s="19" t="s">
        <v>73</v>
      </c>
      <c r="C16" s="24" t="n">
        <f aca="false">'Net Yield Build'!L51</f>
        <v>-0.1055</v>
      </c>
      <c r="D16" s="24" t="n">
        <f aca="false">'Net Yield Build'!M51</f>
        <v>-0.0762</v>
      </c>
      <c r="E16" s="24" t="n">
        <f aca="false">'Net Yield Build'!N51</f>
        <v>-0.0284077015052919</v>
      </c>
      <c r="F16" s="24" t="n">
        <f aca="false">'Net Yield Build'!O51</f>
        <v>-0.0237358862783894</v>
      </c>
      <c r="G16" s="24" t="n">
        <f aca="false">'Net Yield Build'!P51</f>
        <v>-0.00441507412535205</v>
      </c>
      <c r="H16" s="24" t="n">
        <f aca="false">'Net Yield Build'!Q51</f>
        <v>-0.00766945205172049</v>
      </c>
    </row>
    <row r="17" customFormat="false" ht="15" hidden="false" customHeight="false" outlineLevel="0" collapsed="false">
      <c r="B17" s="9" t="s">
        <v>74</v>
      </c>
      <c r="C17" s="27" t="n">
        <f aca="false">'Net Yield Build'!L42</f>
        <v>0</v>
      </c>
      <c r="D17" s="27" t="n">
        <f aca="false">'Net Yield Build'!M42</f>
        <v>-0.0328961440989218</v>
      </c>
      <c r="E17" s="27" t="n">
        <f aca="false">'Net Yield Build'!N42</f>
        <v>-0.0334077015052919</v>
      </c>
      <c r="F17" s="27" t="n">
        <f aca="false">'Net Yield Build'!O42</f>
        <v>-0.0287358862783894</v>
      </c>
      <c r="G17" s="27" t="n">
        <f aca="false">'Net Yield Build'!P42</f>
        <v>-0.00283584530556769</v>
      </c>
      <c r="H17" s="27" t="n">
        <f aca="false">'Net Yield Build'!Q42</f>
        <v>-0.00609022323193613</v>
      </c>
    </row>
    <row r="18" customFormat="false" ht="15" hidden="false" customHeight="false" outlineLevel="0" collapsed="false">
      <c r="B18" s="9" t="s">
        <v>75</v>
      </c>
      <c r="C18" s="27" t="n">
        <f aca="false">'Net Yield Build'!L44</f>
        <v>-0</v>
      </c>
      <c r="D18" s="27" t="n">
        <f aca="false">'Net Yield Build'!M44</f>
        <v>-0</v>
      </c>
      <c r="E18" s="27" t="n">
        <f aca="false">'Net Yield Build'!N44</f>
        <v>-0</v>
      </c>
      <c r="F18" s="27" t="n">
        <f aca="false">'Net Yield Build'!O44</f>
        <v>-0</v>
      </c>
      <c r="G18" s="27" t="n">
        <f aca="false">'Net Yield Build'!P44</f>
        <v>-0.00657922881978437</v>
      </c>
      <c r="H18" s="27" t="n">
        <f aca="false">'Net Yield Build'!Q44</f>
        <v>-0.00657922881978437</v>
      </c>
    </row>
    <row r="19" customFormat="false" ht="15" hidden="false" customHeight="false" outlineLevel="0" collapsed="false">
      <c r="B19" s="9" t="s">
        <v>76</v>
      </c>
      <c r="C19" s="28" t="n">
        <f aca="false">'Net Yield Build'!L13</f>
        <v>-2.4</v>
      </c>
      <c r="D19" s="28" t="n">
        <f aca="false">'Net Yield Build'!M13</f>
        <v>-2.8</v>
      </c>
      <c r="E19" s="28" t="n">
        <f aca="false">'Net Yield Build'!N13</f>
        <v>-1</v>
      </c>
      <c r="F19" s="28" t="n">
        <f aca="false">'Net Yield Build'!O13</f>
        <v>0.5</v>
      </c>
      <c r="G19" s="28" t="n">
        <f aca="false">'Net Yield Build'!P13</f>
        <v>1.5</v>
      </c>
      <c r="H19" s="28" t="n">
        <f aca="false">'Net Yield Build'!Q13</f>
        <v>2</v>
      </c>
    </row>
    <row r="20" customFormat="false" ht="15" hidden="false" customHeight="false" outlineLevel="0" collapsed="false">
      <c r="B20" s="19" t="s">
        <v>77</v>
      </c>
      <c r="C20" s="28" t="n">
        <f aca="false">'Net Yield Build'!L40</f>
        <v>-2.4</v>
      </c>
      <c r="D20" s="28" t="n">
        <f aca="false">'Net Yield Build'!M40</f>
        <v>-2.8</v>
      </c>
      <c r="E20" s="28" t="n">
        <f aca="false">'Net Yield Build'!N40</f>
        <v>-2</v>
      </c>
      <c r="F20" s="28" t="n">
        <f aca="false">'Net Yield Build'!O40</f>
        <v>-0.5</v>
      </c>
      <c r="G20" s="28" t="n">
        <f aca="false">'Net Yield Build'!P40</f>
        <v>0.5</v>
      </c>
      <c r="H20" s="28" t="n">
        <f aca="false">'Net Yield Build'!Q40</f>
        <v>1</v>
      </c>
    </row>
    <row r="21" customFormat="false" ht="15" hidden="false" customHeight="false" outlineLevel="0" collapsed="false">
      <c r="B21" s="9" t="s">
        <v>78</v>
      </c>
      <c r="C21" s="24" t="n">
        <f aca="false">'Net Yield Build'!L31</f>
        <v>-0.0799711581028029</v>
      </c>
      <c r="D21" s="24" t="n">
        <f aca="false">'Net Yield Build'!M31</f>
        <v>-0.0599848613455166</v>
      </c>
      <c r="E21" s="24" t="n">
        <f aca="false">'Net Yield Build'!N31</f>
        <v>-0.0106134051150065</v>
      </c>
      <c r="F21" s="24" t="n">
        <f aca="false">'Net Yield Build'!O31</f>
        <v>0.00740450904375734</v>
      </c>
      <c r="G21" s="24" t="n">
        <f aca="false">'Net Yield Build'!P31</f>
        <v>0.0287770648007739</v>
      </c>
      <c r="H21" s="24" t="n">
        <f aca="false">'Net Yield Build'!Q31</f>
        <v>0.0372634758985058</v>
      </c>
    </row>
    <row r="22" customFormat="false" ht="15" hidden="false" customHeight="false" outlineLevel="0" collapsed="false">
      <c r="B22" s="9" t="s">
        <v>79</v>
      </c>
      <c r="C22" s="24" t="n">
        <f aca="false">'Net Yield Build'!L58</f>
        <v>-0.0840223409460876</v>
      </c>
      <c r="D22" s="24" t="n">
        <f aca="false">'Net Yield Build'!M58</f>
        <v>-0.0700069645665031</v>
      </c>
      <c r="E22" s="24" t="n">
        <f aca="false">'Net Yield Build'!N58</f>
        <v>-0.0346910816333347</v>
      </c>
      <c r="F22" s="24" t="n">
        <f aca="false">'Net Yield Build'!O58</f>
        <v>-0.0175891680010589</v>
      </c>
      <c r="G22" s="24" t="n">
        <f aca="false">'Net Yield Build'!P58</f>
        <v>0.00850406944381232</v>
      </c>
      <c r="H22" s="24" t="n">
        <f aca="false">'Net Yield Build'!Q58</f>
        <v>0.0147727343867956</v>
      </c>
    </row>
    <row r="24" customFormat="false" ht="15" hidden="false" customHeight="false" outlineLevel="0" collapsed="false">
      <c r="B24" s="19" t="s">
        <v>80</v>
      </c>
    </row>
    <row r="25" customFormat="false" ht="27.75" hidden="false" customHeight="true" outlineLevel="0" collapsed="false">
      <c r="B25" s="29" t="s">
        <v>81</v>
      </c>
      <c r="C25" s="29" t="s">
        <v>82</v>
      </c>
      <c r="D25" s="29" t="s">
        <v>83</v>
      </c>
      <c r="E25" s="29" t="s">
        <v>84</v>
      </c>
      <c r="F25" s="29" t="s">
        <v>55</v>
      </c>
      <c r="G25" s="29" t="s">
        <v>85</v>
      </c>
      <c r="H25" s="29" t="s">
        <v>86</v>
      </c>
    </row>
    <row r="26" customFormat="false" ht="57.75" hidden="false" customHeight="true" outlineLevel="0" collapsed="false">
      <c r="B26" s="30" t="s">
        <v>87</v>
      </c>
      <c r="C26" s="31" t="str">
        <f aca="false">"1H27 Caribbean fares "&amp;TEXT('KPI 1 Price Build'!F16,"0.0%")&amp;" vs. peers "&amp;TEXT('KPI 1 Price Build'!F19,"0.0%")&amp;"; NCL elsewhere "&amp;TEXT('KPI 1 Price Build'!F17,"0.0%")</f>
        <v>1H27 Caribbean fares -14.5% vs. peers -0.5%; NCL elsewhere -2.8%</v>
      </c>
      <c r="D26" s="30" t="s">
        <v>88</v>
      </c>
      <c r="E26" s="30" t="s">
        <v>89</v>
      </c>
      <c r="F26" s="32" t="n">
        <f aca="false">AVERAGE('Net Yield Build'!N24:O24)</f>
        <v>-0.0108108003298918</v>
      </c>
      <c r="G26" s="32" t="n">
        <f aca="false">AVERAGE('Net Yield Build'!N51:O51)</f>
        <v>-0.0260717938918407</v>
      </c>
      <c r="H26" s="33" t="n">
        <f aca="false">'Model vs Consensus'!C26</f>
        <v>-43.5236928098866</v>
      </c>
    </row>
    <row r="27" customFormat="false" ht="57.75" hidden="false" customHeight="true" outlineLevel="0" collapsed="false">
      <c r="B27" s="30" t="s">
        <v>90</v>
      </c>
      <c r="C27" s="31" t="str">
        <f aca="false">"Deposits per future berth-day "&amp;TEXT(Deposits!F26,"0.0%")&amp;" y/y; 7th straight decline"</f>
        <v>Deposits per future berth-day -8.3% y/y; 7th straight decline</v>
      </c>
      <c r="D27" s="30" t="s">
        <v>91</v>
      </c>
      <c r="E27" s="30" t="s">
        <v>92</v>
      </c>
      <c r="F27" s="32" t="n">
        <f aca="false">AVERAGE('Net Yield Build'!P24:Q24)</f>
        <v>0.00343960792822199</v>
      </c>
      <c r="G27" s="32" t="n">
        <f aca="false">AVERAGE('Net Yield Build'!P51:Q51)</f>
        <v>-0.00604226308853627</v>
      </c>
      <c r="H27" s="33" t="n">
        <f aca="false">'Model vs Consensus'!C27</f>
        <v>-17.0908923542029</v>
      </c>
    </row>
    <row r="28" customFormat="false" ht="57.75" hidden="false" customHeight="true" outlineLevel="0" collapsed="false">
      <c r="B28" s="30" t="s">
        <v>93</v>
      </c>
      <c r="C28" s="31" t="str">
        <f aca="false">"Occupancy fell "&amp;TEXT(-'KPI 2 Booking Build'!D17,"0.0")&amp;" pts in 2Q26 with the indicator at "&amp;TEXT('KPI 2 Booking Build'!D18,"0.0%")</f>
        <v>Occupancy fell 1.5 pts in 2Q26 with the indicator at -6.1%</v>
      </c>
      <c r="D28" s="30" t="s">
        <v>94</v>
      </c>
      <c r="E28" s="30" t="s">
        <v>95</v>
      </c>
      <c r="F28" s="34" t="n">
        <f aca="false">'Net Yield Build'!U20</f>
        <v>1.03064239726635</v>
      </c>
      <c r="G28" s="34" t="n">
        <f aca="false">'Net Yield Build'!U47</f>
        <v>1.02064239726635</v>
      </c>
      <c r="H28" s="33" t="n">
        <f aca="false">'Model vs Consensus'!C28</f>
        <v>-76.0585233180773</v>
      </c>
    </row>
    <row r="30" customFormat="false" ht="15" hidden="false" customHeight="false" outlineLevel="0" collapsed="false">
      <c r="B30" s="19" t="s">
        <v>96</v>
      </c>
    </row>
    <row r="31" customFormat="false" ht="15" hidden="false" customHeight="false" outlineLevel="0" collapsed="false">
      <c r="B31" s="9" t="s">
        <v>97</v>
      </c>
      <c r="C31" s="9" t="s">
        <v>98</v>
      </c>
      <c r="F31" s="24" t="n">
        <f aca="false">'Net Yield Build'!N18</f>
        <v>0.035</v>
      </c>
      <c r="G31" s="24" t="n">
        <f aca="false">'Net Yield Build'!N45</f>
        <v>0.02</v>
      </c>
      <c r="H31" s="35" t="n">
        <f aca="false">'Model vs Consensus'!C29</f>
        <v>-41.5461167959802</v>
      </c>
    </row>
    <row r="32" customFormat="false" ht="15" hidden="false" customHeight="false" outlineLevel="0" collapsed="false">
      <c r="B32" s="9" t="s">
        <v>99</v>
      </c>
      <c r="C32" s="9" t="s">
        <v>100</v>
      </c>
      <c r="F32" s="24" t="n">
        <f aca="false">'Operating Model'!I11</f>
        <v>-0.005</v>
      </c>
      <c r="G32" s="24" t="n">
        <f aca="false">'Operating Model'!I12</f>
        <v>0.01</v>
      </c>
      <c r="H32" s="35" t="n">
        <f aca="false">'Model vs Consensus'!C30</f>
        <v>-107.106275683014</v>
      </c>
    </row>
    <row r="33" customFormat="false" ht="15" hidden="false" customHeight="false" outlineLevel="0" collapsed="false">
      <c r="B33" s="9" t="s">
        <v>101</v>
      </c>
      <c r="C33" s="9" t="s">
        <v>102</v>
      </c>
      <c r="F33" s="36" t="n">
        <f aca="false">'Operating Model'!I16</f>
        <v>760</v>
      </c>
      <c r="G33" s="36" t="n">
        <f aca="false">'Operating Model'!I17</f>
        <v>800</v>
      </c>
    </row>
    <row r="34" customFormat="false" ht="15" hidden="false" customHeight="false" outlineLevel="0" collapsed="false">
      <c r="B34" s="22" t="s">
        <v>103</v>
      </c>
    </row>
    <row r="36" customFormat="false" ht="15" hidden="false" customHeight="false" outlineLevel="0" collapsed="false">
      <c r="B36" s="19" t="s">
        <v>104</v>
      </c>
    </row>
    <row r="37" customFormat="false" ht="15" hidden="false" customHeight="false" outlineLevel="0" collapsed="false">
      <c r="B37" s="9" t="s">
        <v>105</v>
      </c>
      <c r="C37" s="37" t="n">
        <f aca="false">'Net Yield Build'!U59*(1-'Net Yield Build'!U54)*0.01</f>
        <v>49.0662022226259</v>
      </c>
      <c r="D37" s="9" t="s">
        <v>106</v>
      </c>
      <c r="E37" s="38" t="n">
        <f aca="false">C37*$C$39</f>
        <v>0.887886210691056</v>
      </c>
    </row>
    <row r="38" customFormat="false" ht="15" hidden="false" customHeight="false" outlineLevel="0" collapsed="false">
      <c r="B38" s="9" t="s">
        <v>107</v>
      </c>
      <c r="C38" s="37" t="n">
        <f aca="false">'Net Yield Build'!U46*0.01*'Net Yield Build'!U56</f>
        <v>75.718729705151</v>
      </c>
      <c r="D38" s="9" t="s">
        <v>106</v>
      </c>
      <c r="E38" s="38" t="n">
        <f aca="false">C38*$C$39</f>
        <v>1.37018177382486</v>
      </c>
    </row>
    <row r="39" customFormat="false" ht="15" hidden="false" customHeight="false" outlineLevel="0" collapsed="false">
      <c r="B39" s="9" t="s">
        <v>108</v>
      </c>
      <c r="C39" s="39" t="n">
        <f aca="false">DCF!F25/DCF!L33</f>
        <v>0.0180956782973031</v>
      </c>
    </row>
    <row r="40" customFormat="false" ht="15" hidden="false" customHeight="false" outlineLevel="0" collapsed="false">
      <c r="B40" s="9" t="s">
        <v>109</v>
      </c>
      <c r="C40" s="38" t="n">
        <f aca="false">((DCF!E42-'Model vs Consensus'!C29-'Model vs Consensus'!C30)*DCF!F25-DCF!F22)/DCF!L33</f>
        <v>13.5239435558644</v>
      </c>
      <c r="D40" s="11" t="n">
        <f aca="false">C40/DCF!I2-1</f>
        <v>-0.101399099278113</v>
      </c>
    </row>
    <row r="42" customFormat="false" ht="15" hidden="false" customHeight="false" outlineLevel="0" collapsed="false">
      <c r="B42" s="19" t="s">
        <v>110</v>
      </c>
    </row>
    <row r="43" customFormat="false" ht="15" hidden="false" customHeight="false" outlineLevel="0" collapsed="false">
      <c r="B43" s="9" t="s">
        <v>111</v>
      </c>
      <c r="C43" s="9" t="s">
        <v>112</v>
      </c>
      <c r="G43" s="9" t="str">
        <f aca="false">"Below "&amp;TEXT('KPI 2 Booking Build'!D58,"$#,##0")&amp;"M supports; at or above "&amp;TEXT('KPI 2 Booking Build'!D59,"$#,##0")&amp;"M we cover"</f>
        <v>Below $2,970M supports; at or above $3,110M we cover</v>
      </c>
    </row>
    <row r="44" customFormat="false" ht="15" hidden="false" customHeight="false" outlineLevel="0" collapsed="false">
      <c r="B44" s="9" t="s">
        <v>113</v>
      </c>
      <c r="C44" s="9" t="s">
        <v>114</v>
      </c>
      <c r="G44" s="9" t="str">
        <f aca="false">"At or below flat supports; consensus case "&amp;TEXT('Net Yield Build'!U31,"+0.0%")</f>
        <v>At or below flat supports; consensus case +1.6%</v>
      </c>
    </row>
    <row r="45" customFormat="false" ht="15" hidden="false" customHeight="false" outlineLevel="0" collapsed="false">
      <c r="B45" s="9" t="s">
        <v>115</v>
      </c>
      <c r="C45" s="9" t="s">
        <v>116</v>
      </c>
      <c r="G45" s="9" t="s">
        <v>117</v>
      </c>
    </row>
    <row r="46" customFormat="false" ht="15" hidden="false" customHeight="false" outlineLevel="0" collapsed="false">
      <c r="B46" s="9" t="s">
        <v>118</v>
      </c>
      <c r="C46" s="9" t="s">
        <v>119</v>
      </c>
      <c r="G46" s="9" t="str">
        <f aca="false">"Ours: occupancy "&amp;TEXT('Net Yield Build'!N47,"0.0%")&amp;", ticket price "&amp;TEXT('Net Yield Build'!N51,"0.0%")</f>
        <v>Ours: occupancy 101.8%, ticket price -2.8%</v>
      </c>
    </row>
    <row r="48" customFormat="false" ht="15" hidden="false" customHeight="false" outlineLevel="0" collapsed="false">
      <c r="B48" s="2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8"/>
  <sheetViews>
    <sheetView showFormulas="false" showGridLines="false" showRowColHeaders="true" showZeros="true" rightToLeft="false" tabSelected="false" showOutlineSymbols="true" defaultGridColor="true" view="normal" topLeftCell="A2" colorId="64" zoomScale="119" zoomScaleNormal="119" zoomScalePageLayoutView="100" workbookViewId="0">
      <selection pane="topLeft" activeCell="H56" activeCellId="0" sqref="H5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9" min="9" style="0" width="9"/>
    <col collapsed="false" customWidth="true" hidden="false" outlineLevel="0" max="11" min="10" style="0" width="2"/>
    <col collapsed="false" customWidth="true" hidden="false" outlineLevel="0" max="12" min="12" style="0" width="13"/>
    <col collapsed="false" customWidth="true" hidden="false" outlineLevel="0" max="13" min="13" style="0" width="2"/>
  </cols>
  <sheetData>
    <row r="2" customFormat="false" ht="21" hidden="false" customHeight="true" outlineLevel="0" collapsed="false">
      <c r="B2" s="1" t="s">
        <v>0</v>
      </c>
      <c r="G2" s="40" t="s">
        <v>121</v>
      </c>
      <c r="I2" s="41" t="n">
        <v>15.05</v>
      </c>
    </row>
    <row r="4" customFormat="false" ht="16.5" hidden="false" customHeight="true" outlineLevel="0" collapsed="false">
      <c r="B4" s="42" t="s">
        <v>122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customFormat="false" ht="15" hidden="false" customHeight="false" outlineLevel="0" collapsed="false">
      <c r="B5" s="43" t="s">
        <v>123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7" customFormat="false" ht="15" hidden="false" customHeight="false" outlineLevel="0" collapsed="false">
      <c r="B7" s="44" t="s">
        <v>124</v>
      </c>
    </row>
    <row r="9" customFormat="false" ht="15" hidden="false" customHeight="false" outlineLevel="0" collapsed="false">
      <c r="B9" s="2" t="s">
        <v>125</v>
      </c>
      <c r="C9" s="45" t="n">
        <v>2</v>
      </c>
    </row>
    <row r="11" customFormat="false" ht="15" hidden="false" customHeight="false" outlineLevel="0" collapsed="false">
      <c r="B11" s="2" t="s">
        <v>126</v>
      </c>
      <c r="C11" s="46" t="n">
        <v>1</v>
      </c>
    </row>
    <row r="12" customFormat="false" ht="15" hidden="false" customHeight="false" outlineLevel="0" collapsed="false">
      <c r="B12" s="2" t="s">
        <v>127</v>
      </c>
      <c r="C12" s="46" t="n">
        <v>2</v>
      </c>
    </row>
    <row r="13" customFormat="false" ht="15" hidden="false" customHeight="false" outlineLevel="0" collapsed="false">
      <c r="B13" s="2" t="s">
        <v>128</v>
      </c>
      <c r="C13" s="46" t="n">
        <v>3</v>
      </c>
    </row>
    <row r="15" customFormat="false" ht="15" hidden="false" customHeight="false" outlineLevel="0" collapsed="false">
      <c r="B15" s="44" t="s">
        <v>129</v>
      </c>
      <c r="H15" s="44" t="s">
        <v>130</v>
      </c>
    </row>
    <row r="16" customFormat="false" ht="15" hidden="false" customHeight="false" outlineLevel="0" collapsed="false">
      <c r="B16" s="2" t="s">
        <v>131</v>
      </c>
      <c r="F16" s="47" t="n">
        <f aca="false">I2</f>
        <v>15.05</v>
      </c>
      <c r="H16" s="2" t="s">
        <v>132</v>
      </c>
      <c r="L16" s="48" t="n">
        <v>0.042</v>
      </c>
    </row>
    <row r="17" customFormat="false" ht="15" hidden="false" customHeight="false" outlineLevel="0" collapsed="false">
      <c r="B17" s="2" t="s">
        <v>133</v>
      </c>
      <c r="F17" s="49" t="n">
        <v>459.19</v>
      </c>
      <c r="H17" s="2" t="s">
        <v>134</v>
      </c>
      <c r="L17" s="50" t="n">
        <v>1.8</v>
      </c>
    </row>
    <row r="18" customFormat="false" ht="15" hidden="false" customHeight="false" outlineLevel="0" collapsed="false">
      <c r="B18" s="2" t="s">
        <v>135</v>
      </c>
      <c r="F18" s="51" t="n">
        <f aca="false">F16*F17</f>
        <v>6910.8095</v>
      </c>
      <c r="H18" s="2" t="s">
        <v>136</v>
      </c>
      <c r="L18" s="48" t="n">
        <v>0.05</v>
      </c>
    </row>
    <row r="19" customFormat="false" ht="15" hidden="false" customHeight="false" outlineLevel="0" collapsed="false">
      <c r="B19" s="2" t="s">
        <v>137</v>
      </c>
      <c r="F19" s="8" t="n">
        <f aca="false">'Quarterly (A)'!J40</f>
        <v>14800</v>
      </c>
      <c r="H19" s="2" t="s">
        <v>138</v>
      </c>
      <c r="L19" s="52" t="n">
        <f aca="false">L16+L17*L18</f>
        <v>0.132</v>
      </c>
    </row>
    <row r="20" customFormat="false" ht="15" hidden="false" customHeight="false" outlineLevel="0" collapsed="false">
      <c r="B20" s="2" t="s">
        <v>139</v>
      </c>
      <c r="F20" s="51" t="n">
        <f aca="false">F18+F19</f>
        <v>21710.8095</v>
      </c>
      <c r="H20" s="2" t="s">
        <v>140</v>
      </c>
      <c r="L20" s="48" t="n">
        <v>0.0725</v>
      </c>
    </row>
    <row r="21" customFormat="false" ht="15" hidden="false" customHeight="false" outlineLevel="0" collapsed="false">
      <c r="B21" s="2" t="s">
        <v>141</v>
      </c>
      <c r="F21" s="8" t="n">
        <f aca="false">'Operating Model'!H88</f>
        <v>15883.2438213613</v>
      </c>
      <c r="H21" s="2" t="s">
        <v>142</v>
      </c>
      <c r="L21" s="48" t="n">
        <v>0.02</v>
      </c>
    </row>
    <row r="22" customFormat="false" ht="15" hidden="false" customHeight="false" outlineLevel="0" collapsed="false">
      <c r="B22" s="2" t="s">
        <v>143</v>
      </c>
      <c r="F22" s="53" t="n">
        <v>15800</v>
      </c>
      <c r="H22" s="2" t="s">
        <v>144</v>
      </c>
      <c r="L22" s="54" t="n">
        <f aca="false">F18/(F18+F19)</f>
        <v>0.318311921994433</v>
      </c>
    </row>
    <row r="23" customFormat="false" ht="15" hidden="false" customHeight="false" outlineLevel="0" collapsed="false">
      <c r="B23" s="2" t="s">
        <v>145</v>
      </c>
      <c r="F23" s="51" t="n">
        <f aca="false">F18+F22</f>
        <v>22710.8095</v>
      </c>
      <c r="H23" s="2" t="s">
        <v>146</v>
      </c>
      <c r="L23" s="54" t="n">
        <f aca="false">1-L22</f>
        <v>0.681688078005567</v>
      </c>
    </row>
    <row r="24" customFormat="false" ht="15" hidden="false" customHeight="false" outlineLevel="0" collapsed="false">
      <c r="B24" s="2" t="s">
        <v>147</v>
      </c>
      <c r="F24" s="8" t="n">
        <f aca="false">Consensus!C57</f>
        <v>2693.22</v>
      </c>
      <c r="H24" s="2" t="s">
        <v>130</v>
      </c>
      <c r="L24" s="55" t="n">
        <f aca="false">L19*L22+L20*(1-L21)*L23</f>
        <v>0.0904511116455607</v>
      </c>
    </row>
    <row r="25" customFormat="false" ht="15" hidden="false" customHeight="false" outlineLevel="0" collapsed="false">
      <c r="B25" s="2" t="s">
        <v>148</v>
      </c>
      <c r="F25" s="56" t="n">
        <f aca="false">F23/F24</f>
        <v>8.43258608654325</v>
      </c>
    </row>
    <row r="27" customFormat="false" ht="15" hidden="false" customHeight="false" outlineLevel="0" collapsed="false">
      <c r="B27" s="44" t="s">
        <v>149</v>
      </c>
      <c r="H27" s="44" t="s">
        <v>150</v>
      </c>
    </row>
    <row r="28" customFormat="false" ht="15" hidden="false" customHeight="false" outlineLevel="0" collapsed="false">
      <c r="B28" s="2" t="s">
        <v>151</v>
      </c>
      <c r="C28" s="57" t="n">
        <v>0.08</v>
      </c>
      <c r="D28" s="57" t="n">
        <v>0.085</v>
      </c>
      <c r="E28" s="57" t="n">
        <v>0.09</v>
      </c>
      <c r="F28" s="58" t="n">
        <f aca="false">L24</f>
        <v>0.0904511116455607</v>
      </c>
      <c r="H28" s="2" t="s">
        <v>152</v>
      </c>
      <c r="L28" s="8" t="n">
        <f aca="false">'Operating Model'!I52</f>
        <v>2472.38906149484</v>
      </c>
    </row>
    <row r="29" customFormat="false" ht="15" hidden="false" customHeight="false" outlineLevel="0" collapsed="false">
      <c r="B29" s="2" t="s">
        <v>153</v>
      </c>
      <c r="C29" s="59" t="n">
        <f aca="false">$F$20</f>
        <v>21710.8095</v>
      </c>
      <c r="D29" s="59" t="n">
        <f aca="false">$F$20</f>
        <v>21710.8095</v>
      </c>
      <c r="E29" s="59" t="n">
        <f aca="false">$F$20</f>
        <v>21710.8095</v>
      </c>
      <c r="F29" s="59" t="n">
        <f aca="false">$F$20</f>
        <v>21710.8095</v>
      </c>
      <c r="H29" s="2" t="s">
        <v>154</v>
      </c>
      <c r="L29" s="56" t="n">
        <f aca="false">CHOOSE($C$9,$L$36,$F$25,$F$25)</f>
        <v>8.43258608654325</v>
      </c>
    </row>
    <row r="30" customFormat="false" ht="15" hidden="false" customHeight="false" outlineLevel="0" collapsed="false">
      <c r="B30" s="2" t="s">
        <v>155</v>
      </c>
      <c r="C30" s="60" t="n">
        <f aca="false">'Operating Model'!$H$54</f>
        <v>1085</v>
      </c>
      <c r="D30" s="60" t="n">
        <f aca="false">'Operating Model'!$H$54</f>
        <v>1085</v>
      </c>
      <c r="E30" s="60" t="n">
        <f aca="false">'Operating Model'!$H$54</f>
        <v>1085</v>
      </c>
      <c r="F30" s="60" t="n">
        <f aca="false">'Operating Model'!$H$54</f>
        <v>1085</v>
      </c>
      <c r="H30" s="2" t="s">
        <v>156</v>
      </c>
      <c r="L30" s="51" t="n">
        <f aca="false">L28*L29</f>
        <v>20848.6336004831</v>
      </c>
    </row>
    <row r="31" customFormat="false" ht="15" hidden="false" customHeight="false" outlineLevel="0" collapsed="false">
      <c r="B31" s="3" t="s">
        <v>157</v>
      </c>
      <c r="C31" s="61" t="n">
        <f aca="false">C29*C28+C30</f>
        <v>2821.86476</v>
      </c>
      <c r="D31" s="61" t="n">
        <f aca="false">D29*D28+D30</f>
        <v>2930.4188075</v>
      </c>
      <c r="E31" s="61" t="n">
        <f aca="false">E29*E28+E30</f>
        <v>3038.972855</v>
      </c>
      <c r="F31" s="61" t="n">
        <f aca="false">F29*F28+F30</f>
        <v>3048.766854</v>
      </c>
      <c r="H31" s="2" t="s">
        <v>158</v>
      </c>
      <c r="L31" s="51" t="n">
        <f aca="false">$F$22</f>
        <v>15800</v>
      </c>
    </row>
    <row r="32" customFormat="false" ht="15" hidden="false" customHeight="false" outlineLevel="0" collapsed="false">
      <c r="B32" s="2" t="s">
        <v>159</v>
      </c>
      <c r="C32" s="60" t="n">
        <f aca="false">'Operating Model'!$H$52</f>
        <v>2471.98895779459</v>
      </c>
      <c r="D32" s="60" t="n">
        <f aca="false">'Operating Model'!$H$52</f>
        <v>2471.98895779459</v>
      </c>
      <c r="E32" s="60" t="n">
        <f aca="false">'Operating Model'!$H$52</f>
        <v>2471.98895779459</v>
      </c>
      <c r="F32" s="60" t="n">
        <f aca="false">'Operating Model'!$H$52</f>
        <v>2471.98895779459</v>
      </c>
      <c r="H32" s="2" t="s">
        <v>160</v>
      </c>
      <c r="L32" s="51" t="n">
        <f aca="false">L30-L31</f>
        <v>5048.63360048307</v>
      </c>
    </row>
    <row r="33" customFormat="false" ht="15" hidden="false" customHeight="false" outlineLevel="0" collapsed="false">
      <c r="B33" s="2" t="s">
        <v>161</v>
      </c>
      <c r="C33" s="58" t="n">
        <f aca="false">C31/C32-1</f>
        <v>0.141536150920979</v>
      </c>
      <c r="D33" s="58" t="n">
        <f aca="false">D31/D32-1</f>
        <v>0.185449796715274</v>
      </c>
      <c r="E33" s="58" t="n">
        <f aca="false">E31/E32-1</f>
        <v>0.229363442509569</v>
      </c>
      <c r="F33" s="58" t="n">
        <f aca="false">F31/F32-1</f>
        <v>0.233325433912936</v>
      </c>
      <c r="H33" s="2" t="s">
        <v>162</v>
      </c>
      <c r="L33" s="62" t="n">
        <f aca="false">'Operating Model'!I62</f>
        <v>466</v>
      </c>
    </row>
    <row r="34" customFormat="false" ht="15" hidden="false" customHeight="false" outlineLevel="0" collapsed="false">
      <c r="B34" s="2" t="s">
        <v>163</v>
      </c>
      <c r="C34" s="58" t="n">
        <f aca="false">(C31-C32)/'Operating Model'!$H$33</f>
        <v>0.0464363799294765</v>
      </c>
      <c r="D34" s="58" t="n">
        <f aca="false">(D31-D32)/'Operating Model'!$H$33</f>
        <v>0.0608439410149185</v>
      </c>
      <c r="E34" s="58" t="n">
        <f aca="false">(E31-E32)/'Operating Model'!$H$33</f>
        <v>0.0752515021003604</v>
      </c>
      <c r="F34" s="58" t="n">
        <f aca="false">(F31-F32)/'Operating Model'!$H$33</f>
        <v>0.0765513858183144</v>
      </c>
      <c r="H34" s="3" t="s">
        <v>164</v>
      </c>
      <c r="L34" s="63" t="n">
        <f aca="false">L32/L33</f>
        <v>10.8339776834401</v>
      </c>
    </row>
    <row r="35" customFormat="false" ht="15" hidden="false" customHeight="false" outlineLevel="0" collapsed="false">
      <c r="B35" s="2" t="s">
        <v>165</v>
      </c>
      <c r="C35" s="58" t="n">
        <f aca="false">('Operating Model'!$H$31/'Operating Model'!$G$31)*(1+C34)-1</f>
        <v>-0.00244718488292139</v>
      </c>
      <c r="D35" s="58" t="n">
        <f aca="false">('Operating Model'!$H$31/'Operating Model'!$G$31)*(1+D34)-1</f>
        <v>0.0112873367711543</v>
      </c>
      <c r="E35" s="58" t="n">
        <f aca="false">('Operating Model'!$H$31/'Operating Model'!$G$31)*(1+E34)-1</f>
        <v>0.0250218584252297</v>
      </c>
      <c r="F35" s="58" t="n">
        <f aca="false">('Operating Model'!$H$31/'Operating Model'!$G$31)*(1+F34)-1</f>
        <v>0.0262610189581018</v>
      </c>
      <c r="H35" s="3" t="s">
        <v>166</v>
      </c>
      <c r="L35" s="64" t="n">
        <f aca="false">L34/$I$2-1</f>
        <v>-0.280134373193351</v>
      </c>
    </row>
    <row r="36" customFormat="false" ht="15" hidden="false" customHeight="false" outlineLevel="0" collapsed="false">
      <c r="B36" s="2" t="s">
        <v>167</v>
      </c>
      <c r="C36" s="60" t="n">
        <f aca="false">Consensus!C44</f>
        <v>2950</v>
      </c>
      <c r="H36" s="2" t="s">
        <v>168</v>
      </c>
      <c r="L36" s="65" t="n">
        <v>9</v>
      </c>
    </row>
    <row r="38" customFormat="false" ht="15" hidden="false" customHeight="false" outlineLevel="0" collapsed="false">
      <c r="H38" s="44" t="s">
        <v>169</v>
      </c>
    </row>
    <row r="39" customFormat="false" ht="15" hidden="false" customHeight="false" outlineLevel="0" collapsed="false">
      <c r="B39" s="44" t="s">
        <v>170</v>
      </c>
      <c r="H39" s="2" t="s">
        <v>171</v>
      </c>
      <c r="L39" s="8" t="n">
        <f aca="false">SUM('Operating Model'!I107:L107)</f>
        <v>850.732845871512</v>
      </c>
    </row>
    <row r="40" customFormat="false" ht="15" hidden="false" customHeight="false" outlineLevel="0" collapsed="false">
      <c r="B40" s="3" t="s">
        <v>172</v>
      </c>
      <c r="C40" s="66" t="s">
        <v>173</v>
      </c>
      <c r="D40" s="66" t="s">
        <v>174</v>
      </c>
      <c r="E40" s="66" t="s">
        <v>175</v>
      </c>
      <c r="F40" s="66" t="s">
        <v>176</v>
      </c>
      <c r="G40" s="66" t="s">
        <v>177</v>
      </c>
      <c r="H40" s="2" t="s">
        <v>178</v>
      </c>
      <c r="L40" s="8" t="n">
        <f aca="false">'Operating Model'!L52</f>
        <v>3154.05271425099</v>
      </c>
    </row>
    <row r="41" customFormat="false" ht="15" hidden="false" customHeight="false" outlineLevel="0" collapsed="false">
      <c r="B41" s="2" t="s">
        <v>179</v>
      </c>
      <c r="C41" s="57" t="n">
        <v>0.25</v>
      </c>
      <c r="D41" s="67" t="n">
        <f aca="false">'Net Yield Build'!U31</f>
        <v>0.0157025523949459</v>
      </c>
      <c r="E41" s="59" t="n">
        <f aca="false">'Net Yield Build'!U37-'Operating Model'!$G$45*(1+'Operating Model'!$H$11)*(1+'Operating Model'!$I$11)*'Net Yield Build'!U19-'Operating Model'!$H$47*('Net Yield Build'!U19/'Net Yield Build'!T19)*0.99*'Operating Model'!$I$16/1000</f>
        <v>2787.03398103508</v>
      </c>
      <c r="F41" s="68" t="n">
        <f aca="false">$L$36</f>
        <v>9</v>
      </c>
      <c r="G41" s="69" t="n">
        <f aca="false">(E41*F41-$F$22)/$L$33</f>
        <v>19.9212571444544</v>
      </c>
      <c r="H41" s="2" t="s">
        <v>180</v>
      </c>
      <c r="L41" s="56" t="n">
        <f aca="false">$F$25</f>
        <v>8.43258608654325</v>
      </c>
    </row>
    <row r="42" customFormat="false" ht="15" hidden="false" customHeight="false" outlineLevel="0" collapsed="false">
      <c r="B42" s="2" t="s">
        <v>181</v>
      </c>
      <c r="C42" s="57" t="n">
        <v>0.5</v>
      </c>
      <c r="D42" s="67" t="n">
        <f aca="false">'Net Yield Build'!U58</f>
        <v>-0.00727731321210889</v>
      </c>
      <c r="E42" s="59" t="n">
        <f aca="false">'Net Yield Build'!U64-'Operating Model'!$G$45*(1+'Operating Model'!$H$12)*(1+'Operating Model'!$I$12)*'Net Yield Build'!U46-'Operating Model'!$H$47*('Net Yield Build'!U46/'Net Yield Build'!T46)*0.99*'Operating Model'!$I$17/1000</f>
        <v>2472.38906149484</v>
      </c>
      <c r="F42" s="68" t="n">
        <f aca="false">$F$25</f>
        <v>8.43258608654325</v>
      </c>
      <c r="G42" s="69" t="n">
        <f aca="false">(E42*F42-$F$22)/$L$33</f>
        <v>10.8339776834401</v>
      </c>
      <c r="H42" s="2" t="s">
        <v>182</v>
      </c>
      <c r="L42" s="51" t="n">
        <f aca="false">L40*L41</f>
        <v>26596.8210344168</v>
      </c>
    </row>
    <row r="43" customFormat="false" ht="15" hidden="false" customHeight="false" outlineLevel="0" collapsed="false">
      <c r="B43" s="2" t="s">
        <v>183</v>
      </c>
      <c r="C43" s="57" t="n">
        <v>0.25</v>
      </c>
      <c r="D43" s="67" t="n">
        <f aca="false">'Net Yield Build'!U85</f>
        <v>-0.0264303870483156</v>
      </c>
      <c r="E43" s="59" t="n">
        <f aca="false">'Net Yield Build'!U91-'Operating Model'!$G$45*(1+'Operating Model'!$H$13)*(1+'Operating Model'!$I$13)*'Net Yield Build'!U73-'Operating Model'!$H$47*('Net Yield Build'!U73/'Net Yield Build'!T73)*0.99*'Operating Model'!$I$18/1000</f>
        <v>2220.09236582198</v>
      </c>
      <c r="F43" s="68" t="n">
        <f aca="false">$F$25</f>
        <v>8.43258608654325</v>
      </c>
      <c r="G43" s="69" t="n">
        <f aca="false">(E43*F43-$F$22)/$L$33</f>
        <v>6.26849784307155</v>
      </c>
      <c r="H43" s="2" t="s">
        <v>184</v>
      </c>
      <c r="L43" s="51" t="n">
        <f aca="false">L42/(1+$L$24)^4</f>
        <v>18810.6989413545</v>
      </c>
    </row>
    <row r="44" customFormat="false" ht="15" hidden="false" customHeight="false" outlineLevel="0" collapsed="false">
      <c r="B44" s="3" t="s">
        <v>185</v>
      </c>
      <c r="C44" s="58" t="n">
        <f aca="false">SUM(C41:C43)</f>
        <v>1</v>
      </c>
      <c r="G44" s="69" t="n">
        <f aca="false">C41*G41+C42*G42+C43*G43</f>
        <v>11.9644275886015</v>
      </c>
      <c r="H44" s="2" t="s">
        <v>139</v>
      </c>
      <c r="L44" s="51" t="n">
        <f aca="false">L39+L43</f>
        <v>19661.431787226</v>
      </c>
    </row>
    <row r="45" customFormat="false" ht="15" hidden="false" customHeight="false" outlineLevel="0" collapsed="false">
      <c r="B45" s="2" t="s">
        <v>166</v>
      </c>
      <c r="G45" s="70" t="n">
        <f aca="false">G44/$I$2-1</f>
        <v>-0.205021422684284</v>
      </c>
      <c r="H45" s="2" t="s">
        <v>158</v>
      </c>
      <c r="L45" s="51" t="n">
        <f aca="false">$F$21</f>
        <v>15883.2438213613</v>
      </c>
    </row>
    <row r="46" customFormat="false" ht="15" hidden="false" customHeight="false" outlineLevel="0" collapsed="false">
      <c r="H46" s="3" t="s">
        <v>186</v>
      </c>
      <c r="L46" s="63" t="n">
        <f aca="false">MAX(0,(L44-L45)/L33)</f>
        <v>8.10769949756383</v>
      </c>
    </row>
    <row r="47" customFormat="false" ht="15" hidden="false" customHeight="false" outlineLevel="0" collapsed="false">
      <c r="H47" s="3" t="s">
        <v>166</v>
      </c>
      <c r="L47" s="64" t="n">
        <f aca="false">L46/$I$2-1</f>
        <v>-0.461282425411041</v>
      </c>
    </row>
    <row r="49" customFormat="false" ht="15" hidden="false" customHeight="false" outlineLevel="0" collapsed="false">
      <c r="B49" s="44" t="s">
        <v>187</v>
      </c>
    </row>
    <row r="50" customFormat="false" ht="15" hidden="false" customHeight="false" outlineLevel="0" collapsed="false">
      <c r="B50" s="3" t="s">
        <v>188</v>
      </c>
      <c r="C50" s="71" t="n">
        <v>7.5</v>
      </c>
      <c r="D50" s="71" t="n">
        <v>8</v>
      </c>
      <c r="E50" s="72" t="n">
        <f aca="false">$F$25</f>
        <v>8.43258608654325</v>
      </c>
      <c r="F50" s="71" t="n">
        <v>9</v>
      </c>
      <c r="G50" s="71" t="n">
        <v>9.5</v>
      </c>
    </row>
    <row r="51" customFormat="false" ht="15" hidden="false" customHeight="false" outlineLevel="0" collapsed="false">
      <c r="B51" s="73" t="n">
        <v>-0.04</v>
      </c>
      <c r="C51" s="74" t="n">
        <f aca="false">((('Operating Model'!$H$31*(1+$B51)*'Operating Model'!$I$27)-'Operating Model'!$I$46-'Operating Model'!$I$49)*C$50-$F$22)/$L$33</f>
        <v>1.7861899000814</v>
      </c>
      <c r="D51" s="74" t="n">
        <f aca="false">((('Operating Model'!$H$31*(1+$B51)*'Operating Model'!$I$27)-'Operating Model'!$I$46-'Operating Model'!$I$49)*D$50-$F$22)/$L$33</f>
        <v>4.16564118669627</v>
      </c>
      <c r="E51" s="74" t="n">
        <f aca="false">((('Operating Model'!$H$31*(1+$B51)*'Operating Model'!$I$27)-'Operating Model'!$I$46-'Operating Model'!$I$49)*E$50-$F$22)/$L$33</f>
        <v>6.22427622709031</v>
      </c>
      <c r="F51" s="74" t="n">
        <f aca="false">((('Operating Model'!$H$31*(1+$B51)*'Operating Model'!$I$27)-'Operating Model'!$I$46-'Operating Model'!$I$49)*F$50-$F$22)/$L$33</f>
        <v>8.92454375992601</v>
      </c>
      <c r="G51" s="74" t="n">
        <f aca="false">((('Operating Model'!$H$31*(1+$B51)*'Operating Model'!$I$27)-'Operating Model'!$I$46-'Operating Model'!$I$49)*G$50-$F$22)/$L$33</f>
        <v>11.3039950465409</v>
      </c>
    </row>
    <row r="52" customFormat="false" ht="15" hidden="false" customHeight="false" outlineLevel="0" collapsed="false">
      <c r="B52" s="73" t="n">
        <v>-0.03</v>
      </c>
      <c r="C52" s="74" t="n">
        <f aca="false">((('Operating Model'!$H$31*(1+$B52)*'Operating Model'!$I$27)-'Operating Model'!$I$46-'Operating Model'!$I$49)*C$50-$F$22)/$L$33</f>
        <v>3.03911273371421</v>
      </c>
      <c r="D52" s="74" t="n">
        <f aca="false">((('Operating Model'!$H$31*(1+$B52)*'Operating Model'!$I$27)-'Operating Model'!$I$46-'Operating Model'!$I$49)*D$50-$F$22)/$L$33</f>
        <v>5.50209220923794</v>
      </c>
      <c r="E52" s="74" t="n">
        <f aca="false">((('Operating Model'!$H$31*(1+$B52)*'Operating Model'!$I$27)-'Operating Model'!$I$46-'Operating Model'!$I$49)*E$50-$F$22)/$L$33</f>
        <v>7.63299351434422</v>
      </c>
      <c r="F52" s="74" t="n">
        <f aca="false">((('Operating Model'!$H$31*(1+$B52)*'Operating Model'!$I$27)-'Operating Model'!$I$46-'Operating Model'!$I$49)*F$50-$F$22)/$L$33</f>
        <v>10.4280511602854</v>
      </c>
      <c r="G52" s="74" t="n">
        <f aca="false">((('Operating Model'!$H$31*(1+$B52)*'Operating Model'!$I$27)-'Operating Model'!$I$46-'Operating Model'!$I$49)*G$50-$F$22)/$L$33</f>
        <v>12.8910306358091</v>
      </c>
    </row>
    <row r="53" customFormat="false" ht="15" hidden="false" customHeight="false" outlineLevel="0" collapsed="false">
      <c r="B53" s="73" t="n">
        <v>-0.02</v>
      </c>
      <c r="C53" s="74" t="n">
        <f aca="false">((('Operating Model'!$H$31*(1+$B53)*'Operating Model'!$I$27)-'Operating Model'!$I$46-'Operating Model'!$I$49)*C$50-$F$22)/$L$33</f>
        <v>4.29203556734702</v>
      </c>
      <c r="D53" s="74" t="n">
        <f aca="false">((('Operating Model'!$H$31*(1+$B53)*'Operating Model'!$I$27)-'Operating Model'!$I$46-'Operating Model'!$I$49)*D$50-$F$22)/$L$33</f>
        <v>6.8385432317796</v>
      </c>
      <c r="E53" s="74" t="n">
        <f aca="false">((('Operating Model'!$H$31*(1+$B53)*'Operating Model'!$I$27)-'Operating Model'!$I$46-'Operating Model'!$I$49)*E$50-$F$22)/$L$33</f>
        <v>9.04171080159814</v>
      </c>
      <c r="F53" s="74" t="n">
        <f aca="false">((('Operating Model'!$H$31*(1+$B53)*'Operating Model'!$I$27)-'Operating Model'!$I$46-'Operating Model'!$I$49)*F$50-$F$22)/$L$33</f>
        <v>11.9315585606448</v>
      </c>
      <c r="G53" s="74" t="n">
        <f aca="false">((('Operating Model'!$H$31*(1+$B53)*'Operating Model'!$I$27)-'Operating Model'!$I$46-'Operating Model'!$I$49)*G$50-$F$22)/$L$33</f>
        <v>14.4780662250773</v>
      </c>
    </row>
    <row r="54" customFormat="false" ht="15" hidden="false" customHeight="false" outlineLevel="0" collapsed="false">
      <c r="B54" s="73" t="n">
        <v>-0.01</v>
      </c>
      <c r="C54" s="74" t="n">
        <f aca="false">((('Operating Model'!$H$31*(1+$B54)*'Operating Model'!$I$27)-'Operating Model'!$I$46-'Operating Model'!$I$49)*C$50-$F$22)/$L$33</f>
        <v>5.54495840097986</v>
      </c>
      <c r="D54" s="74" t="n">
        <f aca="false">((('Operating Model'!$H$31*(1+$B54)*'Operating Model'!$I$27)-'Operating Model'!$I$46-'Operating Model'!$I$49)*D$50-$F$22)/$L$33</f>
        <v>8.17499425432129</v>
      </c>
      <c r="E54" s="74" t="n">
        <f aca="false">((('Operating Model'!$H$31*(1+$B54)*'Operating Model'!$I$27)-'Operating Model'!$I$46-'Operating Model'!$I$49)*E$50-$F$22)/$L$33</f>
        <v>10.4504280888521</v>
      </c>
      <c r="F54" s="74" t="n">
        <f aca="false">((('Operating Model'!$H$31*(1+$B54)*'Operating Model'!$I$27)-'Operating Model'!$I$46-'Operating Model'!$I$49)*F$50-$F$22)/$L$33</f>
        <v>13.4350659610042</v>
      </c>
      <c r="G54" s="74" t="n">
        <f aca="false">((('Operating Model'!$H$31*(1+$B54)*'Operating Model'!$I$27)-'Operating Model'!$I$46-'Operating Model'!$I$49)*G$50-$F$22)/$L$33</f>
        <v>16.0651018143456</v>
      </c>
    </row>
    <row r="55" customFormat="false" ht="15" hidden="false" customHeight="false" outlineLevel="0" collapsed="false">
      <c r="B55" s="73" t="n">
        <v>0</v>
      </c>
      <c r="C55" s="74" t="n">
        <f aca="false">((('Operating Model'!$H$31*(1+$B55)*'Operating Model'!$I$27)-'Operating Model'!$I$46-'Operating Model'!$I$49)*C$50-$F$22)/$L$33</f>
        <v>6.79788123461266</v>
      </c>
      <c r="D55" s="74" t="n">
        <f aca="false">((('Operating Model'!$H$31*(1+$B55)*'Operating Model'!$I$27)-'Operating Model'!$I$46-'Operating Model'!$I$49)*D$50-$F$22)/$L$33</f>
        <v>9.51144527686295</v>
      </c>
      <c r="E55" s="74" t="n">
        <f aca="false">((('Operating Model'!$H$31*(1+$B55)*'Operating Model'!$I$27)-'Operating Model'!$I$46-'Operating Model'!$I$49)*E$50-$F$22)/$L$33</f>
        <v>11.859145376106</v>
      </c>
      <c r="F55" s="74" t="n">
        <f aca="false">((('Operating Model'!$H$31*(1+$B55)*'Operating Model'!$I$27)-'Operating Model'!$I$46-'Operating Model'!$I$49)*F$50-$F$22)/$L$33</f>
        <v>14.9385733613635</v>
      </c>
      <c r="G55" s="74" t="n">
        <f aca="false">((('Operating Model'!$H$31*(1+$B55)*'Operating Model'!$I$27)-'Operating Model'!$I$46-'Operating Model'!$I$49)*G$50-$F$22)/$L$33</f>
        <v>17.6521374036138</v>
      </c>
    </row>
    <row r="56" customFormat="false" ht="15" hidden="false" customHeight="false" outlineLevel="0" collapsed="false">
      <c r="B56" s="73" t="n">
        <v>0.01</v>
      </c>
      <c r="C56" s="74" t="n">
        <f aca="false">((('Operating Model'!$H$31*(1+$B56)*'Operating Model'!$I$27)-'Operating Model'!$I$46-'Operating Model'!$I$49)*C$50-$F$22)/$L$33</f>
        <v>8.05080406824547</v>
      </c>
      <c r="D56" s="74" t="n">
        <f aca="false">((('Operating Model'!$H$31*(1+$B56)*'Operating Model'!$I$27)-'Operating Model'!$I$46-'Operating Model'!$I$49)*D$50-$F$22)/$L$33</f>
        <v>10.8478962994046</v>
      </c>
      <c r="E56" s="74" t="n">
        <f aca="false">((('Operating Model'!$H$31*(1+$B56)*'Operating Model'!$I$27)-'Operating Model'!$I$46-'Operating Model'!$I$49)*E$50-$F$22)/$L$33</f>
        <v>13.2678626633599</v>
      </c>
      <c r="F56" s="74" t="n">
        <f aca="false">((('Operating Model'!$H$31*(1+$B56)*'Operating Model'!$I$27)-'Operating Model'!$I$46-'Operating Model'!$I$49)*F$50-$F$22)/$L$33</f>
        <v>16.4420807617229</v>
      </c>
      <c r="G56" s="74" t="n">
        <f aca="false">((('Operating Model'!$H$31*(1+$B56)*'Operating Model'!$I$27)-'Operating Model'!$I$46-'Operating Model'!$I$49)*G$50-$F$22)/$L$33</f>
        <v>19.239172992882</v>
      </c>
    </row>
    <row r="57" customFormat="false" ht="15" hidden="false" customHeight="false" outlineLevel="0" collapsed="false">
      <c r="B57" s="73" t="n">
        <v>0.02</v>
      </c>
      <c r="C57" s="74" t="n">
        <f aca="false">((('Operating Model'!$H$31*(1+$B57)*'Operating Model'!$I$27)-'Operating Model'!$I$46-'Operating Model'!$I$49)*C$50-$F$22)/$L$33</f>
        <v>9.3037269018783</v>
      </c>
      <c r="D57" s="74" t="n">
        <f aca="false">((('Operating Model'!$H$31*(1+$B57)*'Operating Model'!$I$27)-'Operating Model'!$I$46-'Operating Model'!$I$49)*D$50-$F$22)/$L$33</f>
        <v>12.1843473219463</v>
      </c>
      <c r="E57" s="74" t="n">
        <f aca="false">((('Operating Model'!$H$31*(1+$B57)*'Operating Model'!$I$27)-'Operating Model'!$I$46-'Operating Model'!$I$49)*E$50-$F$22)/$L$33</f>
        <v>14.6765799506138</v>
      </c>
      <c r="F57" s="74" t="n">
        <f aca="false">((('Operating Model'!$H$31*(1+$B57)*'Operating Model'!$I$27)-'Operating Model'!$I$46-'Operating Model'!$I$49)*F$50-$F$22)/$L$33</f>
        <v>17.9455881620823</v>
      </c>
      <c r="G57" s="74" t="n">
        <f aca="false">((('Operating Model'!$H$31*(1+$B57)*'Operating Model'!$I$27)-'Operating Model'!$I$46-'Operating Model'!$I$49)*G$50-$F$22)/$L$33</f>
        <v>20.8262085821503</v>
      </c>
    </row>
    <row r="58" customFormat="false" ht="15" hidden="false" customHeight="false" outlineLevel="0" collapsed="false">
      <c r="B58" s="73" t="n">
        <v>0.03</v>
      </c>
      <c r="C58" s="74" t="n">
        <f aca="false">((('Operating Model'!$H$31*(1+$B58)*'Operating Model'!$I$27)-'Operating Model'!$I$46-'Operating Model'!$I$49)*C$50-$F$22)/$L$33</f>
        <v>10.5566497355111</v>
      </c>
      <c r="D58" s="74" t="n">
        <f aca="false">((('Operating Model'!$H$31*(1+$B58)*'Operating Model'!$I$27)-'Operating Model'!$I$46-'Operating Model'!$I$49)*D$50-$F$22)/$L$33</f>
        <v>13.520798344488</v>
      </c>
      <c r="E58" s="74" t="n">
        <f aca="false">((('Operating Model'!$H$31*(1+$B58)*'Operating Model'!$I$27)-'Operating Model'!$I$46-'Operating Model'!$I$49)*E$50-$F$22)/$L$33</f>
        <v>16.0852972378678</v>
      </c>
      <c r="F58" s="74" t="n">
        <f aca="false">((('Operating Model'!$H$31*(1+$B58)*'Operating Model'!$I$27)-'Operating Model'!$I$46-'Operating Model'!$I$49)*F$50-$F$22)/$L$33</f>
        <v>19.4490955624417</v>
      </c>
      <c r="G58" s="74" t="n">
        <f aca="false">((('Operating Model'!$H$31*(1+$B58)*'Operating Model'!$I$27)-'Operating Model'!$I$46-'Operating Model'!$I$49)*G$50-$F$22)/$L$33</f>
        <v>22.4132441714185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false" showRowColHeaders="true" showZeros="true" rightToLeft="false" tabSelected="false" showOutlineSymbols="true" defaultGridColor="true" view="normal" topLeftCell="B1" colorId="64" zoomScale="150" zoomScaleNormal="150" zoomScalePageLayoutView="100" workbookViewId="0">
      <selection pane="topLeft" activeCell="J20" activeCellId="0" sqref="J20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15"/>
  </cols>
  <sheetData>
    <row r="2" customFormat="false" ht="15" hidden="false" customHeight="false" outlineLevel="0" collapsed="false">
      <c r="B2" s="20" t="s">
        <v>189</v>
      </c>
      <c r="C2" s="20"/>
      <c r="D2" s="20"/>
      <c r="E2" s="20"/>
      <c r="F2" s="20"/>
      <c r="G2" s="20"/>
      <c r="H2" s="20"/>
      <c r="I2" s="20"/>
    </row>
    <row r="4" customFormat="false" ht="15" hidden="false" customHeight="false" outlineLevel="0" collapsed="false">
      <c r="B4" s="4"/>
      <c r="C4" s="75" t="s">
        <v>190</v>
      </c>
      <c r="D4" s="75" t="s">
        <v>42</v>
      </c>
      <c r="E4" s="75" t="s">
        <v>57</v>
      </c>
      <c r="F4" s="75" t="s">
        <v>191</v>
      </c>
    </row>
    <row r="5" customFormat="false" ht="15" hidden="false" customHeight="false" outlineLevel="0" collapsed="false">
      <c r="B5" s="9" t="s">
        <v>192</v>
      </c>
      <c r="C5" s="76" t="n">
        <f aca="false">'Operating Model'!H38</f>
        <v>10006.0984061843</v>
      </c>
      <c r="D5" s="76" t="n">
        <f aca="false">Consensus!C6</f>
        <v>10030</v>
      </c>
      <c r="E5" s="77" t="n">
        <f aca="false">C5-D5</f>
        <v>-23.9015938157099</v>
      </c>
      <c r="F5" s="78" t="n">
        <f aca="false">C5/D5-1</f>
        <v>-0.00238301035051947</v>
      </c>
    </row>
    <row r="6" customFormat="false" ht="15" hidden="false" customHeight="false" outlineLevel="0" collapsed="false">
      <c r="B6" s="9" t="s">
        <v>193</v>
      </c>
      <c r="C6" s="76" t="n">
        <f aca="false">'Operating Model'!I38</f>
        <v>10339.8804742289</v>
      </c>
      <c r="D6" s="76" t="n">
        <f aca="false">Consensus!D6</f>
        <v>10570</v>
      </c>
      <c r="E6" s="77" t="n">
        <f aca="false">C6-D6</f>
        <v>-230.119525771082</v>
      </c>
      <c r="F6" s="78" t="n">
        <f aca="false">C6/D6-1</f>
        <v>-0.021771005276356</v>
      </c>
    </row>
    <row r="7" customFormat="false" ht="15" hidden="false" customHeight="false" outlineLevel="0" collapsed="false">
      <c r="B7" s="9" t="s">
        <v>11</v>
      </c>
      <c r="C7" s="76" t="n">
        <f aca="false">'Operating Model'!I52</f>
        <v>2472.38906149484</v>
      </c>
      <c r="D7" s="76" t="n">
        <f aca="false">Consensus!C57</f>
        <v>2693.22</v>
      </c>
      <c r="E7" s="77" t="n">
        <f aca="false">C7-D7</f>
        <v>-220.830938505163</v>
      </c>
      <c r="F7" s="78" t="n">
        <f aca="false">C7/D7-1</f>
        <v>-0.0819951353789009</v>
      </c>
    </row>
    <row r="8" customFormat="false" ht="15" hidden="false" customHeight="false" outlineLevel="0" collapsed="false">
      <c r="B8" s="9" t="s">
        <v>194</v>
      </c>
      <c r="C8" s="79" t="n">
        <f aca="false">'Operating Model'!H63</f>
        <v>1.4404077125834</v>
      </c>
      <c r="D8" s="79" t="n">
        <f aca="false">Consensus!C8</f>
        <v>1.36</v>
      </c>
      <c r="E8" s="80" t="n">
        <f aca="false">C8-D8</f>
        <v>0.0804077125834033</v>
      </c>
      <c r="F8" s="78" t="n">
        <f aca="false">C8/D8-1</f>
        <v>0.0591233180760318</v>
      </c>
    </row>
    <row r="9" customFormat="false" ht="15" hidden="false" customHeight="false" outlineLevel="0" collapsed="false">
      <c r="B9" s="9" t="s">
        <v>195</v>
      </c>
      <c r="C9" s="79" t="n">
        <f aca="false">'Operating Model'!I63</f>
        <v>0.951376137907596</v>
      </c>
      <c r="D9" s="79" t="n">
        <f aca="false">Consensus!D8</f>
        <v>1.46</v>
      </c>
      <c r="E9" s="80" t="n">
        <f aca="false">C9-D9</f>
        <v>-0.508623862092404</v>
      </c>
      <c r="F9" s="78" t="n">
        <f aca="false">C9/D9-1</f>
        <v>-0.348372508282469</v>
      </c>
    </row>
    <row r="10" customFormat="false" ht="15" hidden="false" customHeight="false" outlineLevel="0" collapsed="false">
      <c r="B10" s="9" t="s">
        <v>196</v>
      </c>
      <c r="C10" s="79" t="n">
        <f aca="false">'Operating Model'!I63</f>
        <v>0.951376137907596</v>
      </c>
      <c r="D10" s="79" t="n">
        <f aca="false">Consensus!D7</f>
        <v>1.67</v>
      </c>
      <c r="E10" s="80" t="n">
        <f aca="false">C10-D10</f>
        <v>-0.718623862092404</v>
      </c>
      <c r="F10" s="78" t="n">
        <f aca="false">C10/D10-1</f>
        <v>-0.430313689875691</v>
      </c>
    </row>
    <row r="11" customFormat="false" ht="15" hidden="false" customHeight="false" outlineLevel="0" collapsed="false">
      <c r="B11" s="9" t="s">
        <v>197</v>
      </c>
      <c r="C11" s="81" t="n">
        <f aca="false">'Operating Model'!I32</f>
        <v>-0.00727731321210889</v>
      </c>
      <c r="D11" s="81" t="n">
        <f aca="false">'Net Yield Build'!U31</f>
        <v>0.0157025523949459</v>
      </c>
      <c r="E11" s="82" t="n">
        <f aca="false">C11-D11</f>
        <v>-0.0229798656070548</v>
      </c>
      <c r="F11" s="78" t="n">
        <f aca="false">C11-D11</f>
        <v>-0.0229798656070548</v>
      </c>
    </row>
    <row r="13" customFormat="false" ht="15" hidden="false" customHeight="false" outlineLevel="0" collapsed="false">
      <c r="B13" s="4" t="s">
        <v>198</v>
      </c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B14" s="4" t="s">
        <v>199</v>
      </c>
      <c r="C14" s="75" t="s">
        <v>190</v>
      </c>
      <c r="D14" s="75" t="s">
        <v>42</v>
      </c>
      <c r="E14" s="75" t="s">
        <v>57</v>
      </c>
    </row>
    <row r="15" customFormat="false" ht="15" hidden="false" customHeight="false" outlineLevel="0" collapsed="false">
      <c r="B15" s="9" t="s">
        <v>200</v>
      </c>
      <c r="C15" s="79" t="n">
        <f aca="false">'Net Yield Build'!L125</f>
        <v>0.897511903982523</v>
      </c>
      <c r="D15" s="79" t="n">
        <f aca="false">Consensus!C12</f>
        <v>0.83</v>
      </c>
      <c r="E15" s="80" t="n">
        <f aca="false">C15-D15</f>
        <v>0.0675119039825227</v>
      </c>
    </row>
    <row r="16" customFormat="false" ht="15" hidden="false" customHeight="false" outlineLevel="0" collapsed="false">
      <c r="B16" s="9" t="s">
        <v>201</v>
      </c>
      <c r="C16" s="79" t="n">
        <f aca="false">'Net Yield Build'!M125</f>
        <v>-0.153278027606015</v>
      </c>
      <c r="D16" s="79" t="n">
        <f aca="false">Consensus!D12</f>
        <v>-0.1</v>
      </c>
      <c r="E16" s="80" t="n">
        <f aca="false">C16-D16</f>
        <v>-0.0532780276060146</v>
      </c>
    </row>
    <row r="17" customFormat="false" ht="15" hidden="false" customHeight="false" outlineLevel="0" collapsed="false">
      <c r="B17" s="9" t="s">
        <v>202</v>
      </c>
      <c r="C17" s="79" t="n">
        <f aca="false">'Net Yield Build'!N125</f>
        <v>-0.118697365279367</v>
      </c>
      <c r="D17" s="79" t="n">
        <f aca="false">Consensus!E12</f>
        <v>-0.04</v>
      </c>
      <c r="E17" s="80" t="n">
        <f aca="false">C17-D17</f>
        <v>-0.0786973652793669</v>
      </c>
    </row>
    <row r="18" customFormat="false" ht="15" hidden="false" customHeight="false" outlineLevel="0" collapsed="false">
      <c r="B18" s="9" t="s">
        <v>203</v>
      </c>
      <c r="C18" s="79" t="n">
        <f aca="false">'Net Yield Build'!O125</f>
        <v>0.2816016157009</v>
      </c>
      <c r="D18" s="79" t="n">
        <f aca="false">Consensus!F12</f>
        <v>0.37</v>
      </c>
      <c r="E18" s="80" t="n">
        <f aca="false">C18-D18</f>
        <v>-0.0883983842991001</v>
      </c>
    </row>
    <row r="19" customFormat="false" ht="15" hidden="false" customHeight="false" outlineLevel="0" collapsed="false">
      <c r="B19" s="9" t="s">
        <v>204</v>
      </c>
      <c r="C19" s="79" t="n">
        <f aca="false">'Net Yield Build'!P125</f>
        <v>0.880039194039462</v>
      </c>
      <c r="D19" s="79" t="n">
        <f aca="false">Consensus!G12</f>
        <v>0.97</v>
      </c>
      <c r="E19" s="80" t="n">
        <f aca="false">C19-D19</f>
        <v>-0.0899608059605384</v>
      </c>
    </row>
    <row r="20" customFormat="false" ht="15" hidden="false" customHeight="false" outlineLevel="0" collapsed="false">
      <c r="B20" s="9" t="s">
        <v>205</v>
      </c>
      <c r="C20" s="79" t="n">
        <f aca="false">'Net Yield Build'!Q125</f>
        <v>-0.091567306553396</v>
      </c>
      <c r="D20" s="79" t="n">
        <f aca="false">Consensus!H12</f>
        <v>0.16</v>
      </c>
      <c r="E20" s="80" t="n">
        <f aca="false">C20-D20</f>
        <v>-0.251567306553396</v>
      </c>
    </row>
    <row r="22" customFormat="false" ht="15" hidden="false" customHeight="false" outlineLevel="0" collapsed="false">
      <c r="B22" s="4" t="s">
        <v>206</v>
      </c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B23" s="4" t="s">
        <v>207</v>
      </c>
      <c r="C23" s="75" t="s">
        <v>208</v>
      </c>
    </row>
    <row r="24" customFormat="false" ht="15" hidden="false" customHeight="false" outlineLevel="0" collapsed="false">
      <c r="B24" s="9" t="s">
        <v>209</v>
      </c>
      <c r="C24" s="83" t="n">
        <f aca="false">'Bridge Build'!D6</f>
        <v>2787.03398103508</v>
      </c>
    </row>
    <row r="25" customFormat="false" ht="15" hidden="false" customHeight="false" outlineLevel="0" collapsed="false">
      <c r="B25" s="9" t="s">
        <v>210</v>
      </c>
      <c r="C25" s="83" t="n">
        <f aca="false">'Bridge Build'!E7</f>
        <v>-29.3194185790853</v>
      </c>
    </row>
    <row r="26" customFormat="false" ht="15" hidden="false" customHeight="false" outlineLevel="0" collapsed="false">
      <c r="B26" s="9" t="s">
        <v>211</v>
      </c>
      <c r="C26" s="83" t="n">
        <f aca="false">'Bridge Build'!E8</f>
        <v>-43.5236928098866</v>
      </c>
    </row>
    <row r="27" customFormat="false" ht="15" hidden="false" customHeight="false" outlineLevel="0" collapsed="false">
      <c r="B27" s="9" t="s">
        <v>212</v>
      </c>
      <c r="C27" s="83" t="n">
        <f aca="false">'Bridge Build'!E9</f>
        <v>-17.0908923542029</v>
      </c>
    </row>
    <row r="28" customFormat="false" ht="15" hidden="false" customHeight="false" outlineLevel="0" collapsed="false">
      <c r="B28" s="9" t="s">
        <v>213</v>
      </c>
      <c r="C28" s="83" t="n">
        <f aca="false">'Bridge Build'!E10</f>
        <v>-76.0585233180773</v>
      </c>
    </row>
    <row r="29" customFormat="false" ht="15" hidden="false" customHeight="false" outlineLevel="0" collapsed="false">
      <c r="B29" s="9" t="s">
        <v>214</v>
      </c>
      <c r="C29" s="83" t="n">
        <f aca="false">'Bridge Build'!E11</f>
        <v>-41.5461167959802</v>
      </c>
    </row>
    <row r="30" customFormat="false" ht="15" hidden="false" customHeight="false" outlineLevel="0" collapsed="false">
      <c r="B30" s="9" t="s">
        <v>215</v>
      </c>
      <c r="C30" s="83" t="n">
        <f aca="false">'Bridge Build'!E12</f>
        <v>-107.106275683014</v>
      </c>
    </row>
    <row r="31" customFormat="false" ht="15" hidden="false" customHeight="false" outlineLevel="0" collapsed="false">
      <c r="B31" s="9" t="s">
        <v>216</v>
      </c>
      <c r="C31" s="35" t="n">
        <f aca="false">DCF!E42</f>
        <v>2472.38906149484</v>
      </c>
    </row>
    <row r="32" customFormat="false" ht="15" hidden="false" customHeight="false" outlineLevel="0" collapsed="false">
      <c r="B32" s="9" t="s">
        <v>217</v>
      </c>
      <c r="C32" s="37" t="n">
        <f aca="false">C24+SUM(C25:C30)-C31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30"/>
    <col collapsed="false" customWidth="true" hidden="false" outlineLevel="0" max="9" min="4" style="0" width="11"/>
    <col collapsed="false" customWidth="true" hidden="false" outlineLevel="0" max="10" min="10" style="0" width="12"/>
  </cols>
  <sheetData>
    <row r="2" customFormat="false" ht="15" hidden="false" customHeight="false" outlineLevel="0" collapsed="false">
      <c r="B2" s="20" t="s">
        <v>218</v>
      </c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false" outlineLevel="0" collapsed="false">
      <c r="B3" s="22" t="s">
        <v>219</v>
      </c>
    </row>
    <row r="5" customFormat="false" ht="15" hidden="false" customHeight="false" outlineLevel="0" collapsed="false">
      <c r="B5" s="19" t="s">
        <v>207</v>
      </c>
      <c r="D5" s="19" t="s">
        <v>220</v>
      </c>
      <c r="E5" s="19" t="s">
        <v>221</v>
      </c>
    </row>
    <row r="6" customFormat="false" ht="15" hidden="false" customHeight="false" outlineLevel="0" collapsed="false">
      <c r="B6" s="9" t="s">
        <v>209</v>
      </c>
      <c r="D6" s="37" t="n">
        <f aca="false">J21</f>
        <v>2787.03398103508</v>
      </c>
    </row>
    <row r="7" customFormat="false" ht="15" hidden="false" customHeight="false" outlineLevel="0" collapsed="false">
      <c r="B7" s="9" t="s">
        <v>222</v>
      </c>
      <c r="D7" s="37" t="n">
        <f aca="false">J30</f>
        <v>2757.714562456</v>
      </c>
      <c r="E7" s="37" t="n">
        <f aca="false">D7-D6</f>
        <v>-29.3194185790853</v>
      </c>
    </row>
    <row r="8" customFormat="false" ht="15" hidden="false" customHeight="false" outlineLevel="0" collapsed="false">
      <c r="B8" s="9" t="s">
        <v>223</v>
      </c>
      <c r="D8" s="37" t="n">
        <f aca="false">J39</f>
        <v>2714.19086964611</v>
      </c>
      <c r="E8" s="37" t="n">
        <f aca="false">D8-D7</f>
        <v>-43.5236928098866</v>
      </c>
    </row>
    <row r="9" customFormat="false" ht="15" hidden="false" customHeight="false" outlineLevel="0" collapsed="false">
      <c r="B9" s="9" t="s">
        <v>224</v>
      </c>
      <c r="D9" s="37" t="n">
        <f aca="false">J48</f>
        <v>2697.09997729191</v>
      </c>
      <c r="E9" s="37" t="n">
        <f aca="false">D9-D8</f>
        <v>-17.0908923542029</v>
      </c>
    </row>
    <row r="10" customFormat="false" ht="15" hidden="false" customHeight="false" outlineLevel="0" collapsed="false">
      <c r="B10" s="9" t="s">
        <v>213</v>
      </c>
      <c r="D10" s="37" t="n">
        <f aca="false">J57</f>
        <v>2621.04145397383</v>
      </c>
      <c r="E10" s="37" t="n">
        <f aca="false">D10-D9</f>
        <v>-76.0585233180773</v>
      </c>
    </row>
    <row r="11" customFormat="false" ht="15" hidden="false" customHeight="false" outlineLevel="0" collapsed="false">
      <c r="B11" s="9" t="s">
        <v>214</v>
      </c>
      <c r="D11" s="37" t="n">
        <f aca="false">J66</f>
        <v>2579.49533717785</v>
      </c>
      <c r="E11" s="37" t="n">
        <f aca="false">D11-D10</f>
        <v>-41.5461167959802</v>
      </c>
    </row>
    <row r="12" customFormat="false" ht="15" hidden="false" customHeight="false" outlineLevel="0" collapsed="false">
      <c r="B12" s="9" t="s">
        <v>215</v>
      </c>
      <c r="D12" s="37" t="n">
        <f aca="false">J65-'Operating Model'!$G$45*(1+'Operating Model'!$H$12)*(1+'Operating Model'!$I$12)*'Net Yield Build'!$U$19-'Operating Model'!$H$47*('Net Yield Build'!$U$19/'Net Yield Build'!$T$19)*0.99*'Operating Model'!$I$17/1000</f>
        <v>2472.38906149484</v>
      </c>
      <c r="E12" s="37" t="n">
        <f aca="false">D12-D11</f>
        <v>-107.106275683014</v>
      </c>
    </row>
    <row r="13" customFormat="false" ht="15" hidden="false" customHeight="false" outlineLevel="0" collapsed="false">
      <c r="B13" s="19" t="s">
        <v>225</v>
      </c>
      <c r="D13" s="37" t="n">
        <f aca="false">D6-DCF!E41</f>
        <v>0</v>
      </c>
      <c r="E13" s="37" t="n">
        <f aca="false">D12-DCF!E42</f>
        <v>0</v>
      </c>
    </row>
    <row r="14" customFormat="false" ht="15" hidden="false" customHeight="false" outlineLevel="0" collapsed="false">
      <c r="B14" s="19" t="s">
        <v>226</v>
      </c>
      <c r="D14" s="23" t="s">
        <v>66</v>
      </c>
      <c r="E14" s="23" t="s">
        <v>67</v>
      </c>
      <c r="F14" s="23" t="s">
        <v>68</v>
      </c>
      <c r="G14" s="23" t="s">
        <v>69</v>
      </c>
      <c r="H14" s="23" t="s">
        <v>70</v>
      </c>
      <c r="I14" s="23" t="s">
        <v>71</v>
      </c>
      <c r="J14" s="23" t="s">
        <v>227</v>
      </c>
    </row>
    <row r="15" customFormat="false" ht="15" hidden="false" customHeight="false" outlineLevel="0" collapsed="false">
      <c r="B15" s="9" t="s">
        <v>228</v>
      </c>
      <c r="D15" s="28" t="n">
        <f aca="false">'Net Yield Build'!L13</f>
        <v>-2.4</v>
      </c>
      <c r="E15" s="28" t="n">
        <f aca="false">'Net Yield Build'!M13</f>
        <v>-2.8</v>
      </c>
      <c r="F15" s="28" t="n">
        <f aca="false">'Net Yield Build'!N13</f>
        <v>-1</v>
      </c>
      <c r="G15" s="28" t="n">
        <f aca="false">'Net Yield Build'!O13</f>
        <v>0.5</v>
      </c>
      <c r="H15" s="28" t="n">
        <f aca="false">'Net Yield Build'!P13</f>
        <v>1.5</v>
      </c>
      <c r="I15" s="28" t="n">
        <f aca="false">'Net Yield Build'!Q13</f>
        <v>2</v>
      </c>
    </row>
    <row r="16" customFormat="false" ht="15" hidden="false" customHeight="false" outlineLevel="0" collapsed="false">
      <c r="B16" s="9" t="s">
        <v>58</v>
      </c>
      <c r="D16" s="11" t="n">
        <f aca="false">'Net Yield Build'!H20+D15/100</f>
        <v>1.03999588631264</v>
      </c>
      <c r="E16" s="11" t="n">
        <f aca="false">'Net Yield Build'!I20+E15/100</f>
        <v>0.989722852900321</v>
      </c>
      <c r="F16" s="11" t="n">
        <f aca="false">'Net Yield Build'!J20+F15/100</f>
        <v>1.0277756921633</v>
      </c>
      <c r="G16" s="11" t="n">
        <f aca="false">'Net Yield Build'!K20+G15/100</f>
        <v>1.02871883393781</v>
      </c>
      <c r="H16" s="11" t="n">
        <f aca="false">D16+H15/100</f>
        <v>1.05499588631264</v>
      </c>
      <c r="I16" s="11" t="n">
        <f aca="false">E16+I15/100</f>
        <v>1.00972285290032</v>
      </c>
    </row>
    <row r="17" customFormat="false" ht="15" hidden="false" customHeight="false" outlineLevel="0" collapsed="false">
      <c r="B17" s="9" t="s">
        <v>229</v>
      </c>
      <c r="D17" s="84" t="n">
        <f aca="false">'Net Yield Build'!L14+'Net Yield Build'!L15+'Net Yield Build'!L17+'Net Yield Build'!L16</f>
        <v>-0.0945</v>
      </c>
      <c r="E17" s="84" t="n">
        <f aca="false">'Net Yield Build'!M14+'Net Yield Build'!M15+'Net Yield Build'!M17+'Net Yield Build'!M16</f>
        <v>-0.0553</v>
      </c>
      <c r="F17" s="84" t="n">
        <f aca="false">'Net Yield Build'!N14+'Net Yield Build'!N15+'Net Yield Build'!N17+'Net Yield Build'!N16</f>
        <v>-0.00355983416960663</v>
      </c>
      <c r="G17" s="84" t="n">
        <f aca="false">'Net Yield Build'!O14+'Net Yield Build'!O15+'Net Yield Build'!O17+'Net Yield Build'!O16</f>
        <v>0.00193823350982301</v>
      </c>
      <c r="H17" s="84" t="n">
        <f aca="false">'Net Yield Build'!P14+'Net Yield Build'!P15+'Net Yield Build'!P17+'Net Yield Build'!P16</f>
        <v>0.0139092902670894</v>
      </c>
      <c r="I17" s="84" t="n">
        <f aca="false">'Net Yield Build'!Q14+'Net Yield Build'!Q15+'Net Yield Build'!Q17+'Net Yield Build'!Q16</f>
        <v>0.0129699255893546</v>
      </c>
    </row>
    <row r="18" customFormat="false" ht="15" hidden="false" customHeight="false" outlineLevel="0" collapsed="false">
      <c r="B18" s="9" t="s">
        <v>230</v>
      </c>
      <c r="D18" s="38" t="n">
        <f aca="false">'Net Yield Build'!H25*(1+D17)</f>
        <v>271.844803904339</v>
      </c>
      <c r="E18" s="38" t="n">
        <f aca="false">'Net Yield Build'!I25*(1+E17)</f>
        <v>223.801610156728</v>
      </c>
      <c r="F18" s="38" t="n">
        <f aca="false">'Net Yield Build'!J25*(1+F17)</f>
        <v>231.642262868897</v>
      </c>
      <c r="G18" s="38" t="n">
        <f aca="false">'Net Yield Build'!K25*(1+G17)</f>
        <v>256.921261485053</v>
      </c>
      <c r="H18" s="38" t="n">
        <f aca="false">D18*(1+H17)</f>
        <v>275.625972189445</v>
      </c>
      <c r="I18" s="38" t="n">
        <f aca="false">E18*(1+I17)</f>
        <v>226.704300387239</v>
      </c>
    </row>
    <row r="19" customFormat="false" ht="15" hidden="false" customHeight="false" outlineLevel="0" collapsed="false">
      <c r="B19" s="9" t="s">
        <v>60</v>
      </c>
      <c r="D19" s="38" t="n">
        <f aca="false">'Net Yield Build'!H26*(1+'Net Yield Build'!L18)</f>
        <v>135.27676288388</v>
      </c>
      <c r="E19" s="38" t="n">
        <f aca="false">'Net Yield Build'!I26*(1+'Net Yield Build'!M18)</f>
        <v>118.666451734362</v>
      </c>
      <c r="F19" s="38" t="n">
        <f aca="false">'Net Yield Build'!J26*(1+'Net Yield Build'!N18)</f>
        <v>123.070540357224</v>
      </c>
      <c r="G19" s="38" t="n">
        <f aca="false">'Net Yield Build'!K26*(1+'Net Yield Build'!O18)</f>
        <v>139.049389267714</v>
      </c>
      <c r="H19" s="38" t="n">
        <f aca="false">D19*(1+'Net Yield Build'!P18)</f>
        <v>140.011449584816</v>
      </c>
      <c r="I19" s="38" t="n">
        <f aca="false">E19*(1+'Net Yield Build'!Q18)</f>
        <v>122.819777545065</v>
      </c>
    </row>
    <row r="20" customFormat="false" ht="15" hidden="false" customHeight="false" outlineLevel="0" collapsed="false">
      <c r="B20" s="9" t="s">
        <v>231</v>
      </c>
      <c r="D20" s="37" t="n">
        <f aca="false">'Net Yield Build'!L19*D16*(D18*(1-'Net Yield Build'!L54)+D19*(1-'Net Yield Build'!L55))</f>
        <v>2138.94290101842</v>
      </c>
      <c r="E20" s="37" t="n">
        <f aca="false">'Net Yield Build'!M19*E16*(E18*(1-'Net Yield Build'!M54)+E19*(1-'Net Yield Build'!M55))</f>
        <v>1676.69318212763</v>
      </c>
      <c r="F20" s="37" t="n">
        <f aca="false">'Net Yield Build'!N19*F16*(F18*(1-'Net Yield Build'!N54)+F19*(1-'Net Yield Build'!N55))</f>
        <v>1821.75147956066</v>
      </c>
      <c r="G20" s="37" t="n">
        <f aca="false">'Net Yield Build'!O19*G16*(G18*(1-'Net Yield Build'!O54)+G19*(1-'Net Yield Build'!O55))</f>
        <v>1980.55100099549</v>
      </c>
      <c r="H20" s="37" t="n">
        <f aca="false">'Net Yield Build'!P19*H16*(H18*(1-'Net Yield Build'!P54)+H19*(1-'Net Yield Build'!P55))</f>
        <v>2307.57258347594</v>
      </c>
      <c r="I20" s="37" t="n">
        <f aca="false">'Net Yield Build'!Q19*I16*(I18*(1-'Net Yield Build'!Q54)+I19*(1-'Net Yield Build'!Q55))</f>
        <v>1825.83816024794</v>
      </c>
      <c r="J20" s="37" t="n">
        <f aca="false">SUM(F20:I20)</f>
        <v>7935.71322428003</v>
      </c>
    </row>
    <row r="21" customFormat="false" ht="15" hidden="false" customHeight="false" outlineLevel="0" collapsed="false">
      <c r="B21" s="19" t="s">
        <v>64</v>
      </c>
      <c r="J21" s="85" t="n">
        <f aca="false">J20-'Operating Model'!$G$45*(1+'Operating Model'!$H$11)*(1+'Operating Model'!$I$11)*'Net Yield Build'!$U$19-'Operating Model'!$H$47*('Net Yield Build'!$U$19/'Net Yield Build'!$T$19)*0.99*'Operating Model'!$I$16/1000</f>
        <v>2787.03398103508</v>
      </c>
    </row>
    <row r="23" customFormat="false" ht="15" hidden="false" customHeight="false" outlineLevel="0" collapsed="false">
      <c r="B23" s="19" t="s">
        <v>232</v>
      </c>
      <c r="D23" s="23" t="s">
        <v>66</v>
      </c>
      <c r="E23" s="23" t="s">
        <v>67</v>
      </c>
      <c r="F23" s="23" t="s">
        <v>68</v>
      </c>
      <c r="G23" s="23" t="s">
        <v>69</v>
      </c>
      <c r="H23" s="23" t="s">
        <v>70</v>
      </c>
      <c r="I23" s="23" t="s">
        <v>71</v>
      </c>
      <c r="J23" s="23" t="s">
        <v>227</v>
      </c>
    </row>
    <row r="24" customFormat="false" ht="15" hidden="false" customHeight="false" outlineLevel="0" collapsed="false">
      <c r="B24" s="9" t="s">
        <v>228</v>
      </c>
      <c r="D24" s="28" t="n">
        <f aca="false">'Net Yield Build'!L40</f>
        <v>-2.4</v>
      </c>
      <c r="E24" s="28" t="n">
        <f aca="false">'Net Yield Build'!M40</f>
        <v>-2.8</v>
      </c>
      <c r="F24" s="28" t="n">
        <f aca="false">'Net Yield Build'!N13</f>
        <v>-1</v>
      </c>
      <c r="G24" s="28" t="n">
        <f aca="false">'Net Yield Build'!O13</f>
        <v>0.5</v>
      </c>
      <c r="H24" s="28" t="n">
        <f aca="false">'Net Yield Build'!P13</f>
        <v>1.5</v>
      </c>
      <c r="I24" s="28" t="n">
        <f aca="false">'Net Yield Build'!Q13</f>
        <v>2</v>
      </c>
    </row>
    <row r="25" customFormat="false" ht="15" hidden="false" customHeight="false" outlineLevel="0" collapsed="false">
      <c r="B25" s="9" t="s">
        <v>58</v>
      </c>
      <c r="D25" s="11" t="n">
        <f aca="false">'Net Yield Build'!H20+D24/100</f>
        <v>1.03999588631264</v>
      </c>
      <c r="E25" s="11" t="n">
        <f aca="false">'Net Yield Build'!I20+E24/100</f>
        <v>0.989722852900321</v>
      </c>
      <c r="F25" s="11" t="n">
        <f aca="false">'Net Yield Build'!J20+F24/100</f>
        <v>1.0277756921633</v>
      </c>
      <c r="G25" s="11" t="n">
        <f aca="false">'Net Yield Build'!K20+G24/100</f>
        <v>1.02871883393781</v>
      </c>
      <c r="H25" s="11" t="n">
        <f aca="false">D25+H24/100</f>
        <v>1.05499588631264</v>
      </c>
      <c r="I25" s="11" t="n">
        <f aca="false">E25+I24/100</f>
        <v>1.00972285290032</v>
      </c>
    </row>
    <row r="26" customFormat="false" ht="15" hidden="false" customHeight="false" outlineLevel="0" collapsed="false">
      <c r="B26" s="9" t="s">
        <v>229</v>
      </c>
      <c r="D26" s="84" t="n">
        <f aca="false">'Net Yield Build'!L41+'Net Yield Build'!L42+('Net Yield Build'!L44+'KPI 2 Booking Build'!D52)+'Net Yield Build'!L16</f>
        <v>-0.1005</v>
      </c>
      <c r="E26" s="84" t="n">
        <f aca="false">'Net Yield Build'!M41+'Net Yield Build'!M42+('Net Yield Build'!M44+'KPI 2 Booking Build'!E52)+'Net Yield Build'!M16</f>
        <v>-0.0712</v>
      </c>
      <c r="F26" s="84" t="n">
        <f aca="false">'Net Yield Build'!N41+'Net Yield Build'!N15+'Net Yield Build'!N17+'Net Yield Build'!N16</f>
        <v>-0.00355983416960663</v>
      </c>
      <c r="G26" s="84" t="n">
        <f aca="false">'Net Yield Build'!O41+'Net Yield Build'!O15+'Net Yield Build'!O17+'Net Yield Build'!O16</f>
        <v>0.00193823350982301</v>
      </c>
      <c r="H26" s="84" t="n">
        <f aca="false">'Net Yield Build'!P41+'Net Yield Build'!P15+'Net Yield Build'!P17+'Net Yield Build'!P16</f>
        <v>0.0139092902670894</v>
      </c>
      <c r="I26" s="84" t="n">
        <f aca="false">'Net Yield Build'!Q41+'Net Yield Build'!Q15+'Net Yield Build'!Q17+'Net Yield Build'!Q16</f>
        <v>0.0129699255893546</v>
      </c>
    </row>
    <row r="27" customFormat="false" ht="15" hidden="false" customHeight="false" outlineLevel="0" collapsed="false">
      <c r="B27" s="9" t="s">
        <v>230</v>
      </c>
      <c r="D27" s="38" t="n">
        <f aca="false">'Net Yield Build'!H25*(1+D26)</f>
        <v>270.043513099893</v>
      </c>
      <c r="E27" s="38" t="n">
        <f aca="false">'Net Yield Build'!I25*(1+E26)</f>
        <v>220.034863463077</v>
      </c>
      <c r="F27" s="38" t="n">
        <f aca="false">'Net Yield Build'!J25*(1+F26)</f>
        <v>231.642262868897</v>
      </c>
      <c r="G27" s="38" t="n">
        <f aca="false">'Net Yield Build'!K25*(1+G26)</f>
        <v>256.921261485053</v>
      </c>
      <c r="H27" s="38" t="n">
        <f aca="false">D27*(1+H26)</f>
        <v>273.799626708344</v>
      </c>
      <c r="I27" s="38" t="n">
        <f aca="false">E27*(1+I26)</f>
        <v>222.888699269257</v>
      </c>
    </row>
    <row r="28" customFormat="false" ht="15" hidden="false" customHeight="false" outlineLevel="0" collapsed="false">
      <c r="B28" s="9" t="s">
        <v>60</v>
      </c>
      <c r="D28" s="38" t="n">
        <f aca="false">'Net Yield Build'!H26*(1+'Net Yield Build'!L45)</f>
        <v>135.27676288388</v>
      </c>
      <c r="E28" s="38" t="n">
        <f aca="false">'Net Yield Build'!I26*(1+'Net Yield Build'!M45)</f>
        <v>118.666451734362</v>
      </c>
      <c r="F28" s="38" t="n">
        <f aca="false">'Net Yield Build'!J26*(1+'Net Yield Build'!N18)</f>
        <v>123.070540357224</v>
      </c>
      <c r="G28" s="38" t="n">
        <f aca="false">'Net Yield Build'!K26*(1+'Net Yield Build'!O18)</f>
        <v>139.049389267714</v>
      </c>
      <c r="H28" s="38" t="n">
        <f aca="false">D28*(1+'Net Yield Build'!P18)</f>
        <v>140.011449584816</v>
      </c>
      <c r="I28" s="38" t="n">
        <f aca="false">E28*(1+'Net Yield Build'!Q18)</f>
        <v>122.819777545065</v>
      </c>
    </row>
    <row r="29" customFormat="false" ht="15" hidden="false" customHeight="false" outlineLevel="0" collapsed="false">
      <c r="B29" s="9" t="s">
        <v>231</v>
      </c>
      <c r="D29" s="37" t="n">
        <f aca="false">'Net Yield Build'!L19*D25*(D27*(1-'Net Yield Build'!L54)+D28*(1-'Net Yield Build'!L55))</f>
        <v>2129.5244476083</v>
      </c>
      <c r="E29" s="37" t="n">
        <f aca="false">'Net Yield Build'!M19*E25*(E27*(1-'Net Yield Build'!M54)+E28*(1-'Net Yield Build'!M55))</f>
        <v>1658.81688264031</v>
      </c>
      <c r="F29" s="37" t="n">
        <f aca="false">'Net Yield Build'!N19*F25*(F27*(1-'Net Yield Build'!N54)+F28*(1-'Net Yield Build'!N55))</f>
        <v>1821.75147956066</v>
      </c>
      <c r="G29" s="37" t="n">
        <f aca="false">'Net Yield Build'!O19*G25*(G27*(1-'Net Yield Build'!O54)+G28*(1-'Net Yield Build'!O55))</f>
        <v>1980.55100099549</v>
      </c>
      <c r="H29" s="37" t="n">
        <f aca="false">'Net Yield Build'!P19*H25*(H27*(1-'Net Yield Build'!P54)+H28*(1-'Net Yield Build'!P55))</f>
        <v>2297.51705576859</v>
      </c>
      <c r="I29" s="37" t="n">
        <f aca="false">'Net Yield Build'!Q19*I25*(I27*(1-'Net Yield Build'!Q54)+I28*(1-'Net Yield Build'!Q55))</f>
        <v>1806.57426937622</v>
      </c>
      <c r="J29" s="37" t="n">
        <f aca="false">SUM(F29:I29)</f>
        <v>7906.39380570094</v>
      </c>
    </row>
    <row r="30" customFormat="false" ht="15" hidden="false" customHeight="false" outlineLevel="0" collapsed="false">
      <c r="B30" s="19" t="s">
        <v>64</v>
      </c>
      <c r="J30" s="85" t="n">
        <f aca="false">J29-'Operating Model'!$G$45*(1+'Operating Model'!$H$11)*(1+'Operating Model'!$I$11)*'Net Yield Build'!$U$19-'Operating Model'!$H$47*('Net Yield Build'!$U$19/'Net Yield Build'!$T$19)*0.99*'Operating Model'!$I$16/1000</f>
        <v>2757.714562456</v>
      </c>
    </row>
    <row r="32" customFormat="false" ht="15" hidden="false" customHeight="false" outlineLevel="0" collapsed="false">
      <c r="B32" s="19" t="s">
        <v>233</v>
      </c>
      <c r="D32" s="23" t="s">
        <v>66</v>
      </c>
      <c r="E32" s="23" t="s">
        <v>67</v>
      </c>
      <c r="F32" s="23" t="s">
        <v>68</v>
      </c>
      <c r="G32" s="23" t="s">
        <v>69</v>
      </c>
      <c r="H32" s="23" t="s">
        <v>70</v>
      </c>
      <c r="I32" s="23" t="s">
        <v>71</v>
      </c>
      <c r="J32" s="23" t="s">
        <v>227</v>
      </c>
    </row>
    <row r="33" customFormat="false" ht="15" hidden="false" customHeight="false" outlineLevel="0" collapsed="false">
      <c r="B33" s="9" t="s">
        <v>228</v>
      </c>
      <c r="D33" s="28" t="n">
        <f aca="false">'Net Yield Build'!L40</f>
        <v>-2.4</v>
      </c>
      <c r="E33" s="28" t="n">
        <f aca="false">'Net Yield Build'!M40</f>
        <v>-2.8</v>
      </c>
      <c r="F33" s="28" t="n">
        <f aca="false">'Net Yield Build'!N13</f>
        <v>-1</v>
      </c>
      <c r="G33" s="28" t="n">
        <f aca="false">'Net Yield Build'!O13</f>
        <v>0.5</v>
      </c>
      <c r="H33" s="28" t="n">
        <f aca="false">'Net Yield Build'!P13</f>
        <v>1.5</v>
      </c>
      <c r="I33" s="28" t="n">
        <f aca="false">'Net Yield Build'!Q13</f>
        <v>2</v>
      </c>
    </row>
    <row r="34" customFormat="false" ht="15" hidden="false" customHeight="false" outlineLevel="0" collapsed="false">
      <c r="B34" s="9" t="s">
        <v>58</v>
      </c>
      <c r="D34" s="11" t="n">
        <f aca="false">'Net Yield Build'!H20+D33/100</f>
        <v>1.03999588631264</v>
      </c>
      <c r="E34" s="11" t="n">
        <f aca="false">'Net Yield Build'!I20+E33/100</f>
        <v>0.989722852900321</v>
      </c>
      <c r="F34" s="11" t="n">
        <f aca="false">'Net Yield Build'!J20+F33/100</f>
        <v>1.0277756921633</v>
      </c>
      <c r="G34" s="11" t="n">
        <f aca="false">'Net Yield Build'!K20+G33/100</f>
        <v>1.02871883393781</v>
      </c>
      <c r="H34" s="11" t="n">
        <f aca="false">D34+H33/100</f>
        <v>1.05499588631264</v>
      </c>
      <c r="I34" s="11" t="n">
        <f aca="false">E34+I33/100</f>
        <v>1.00972285290032</v>
      </c>
    </row>
    <row r="35" customFormat="false" ht="15" hidden="false" customHeight="false" outlineLevel="0" collapsed="false">
      <c r="B35" s="9" t="s">
        <v>229</v>
      </c>
      <c r="D35" s="84" t="n">
        <f aca="false">'Net Yield Build'!L41+'Net Yield Build'!L42+('Net Yield Build'!L44+'KPI 2 Booking Build'!D52)+'Net Yield Build'!L16</f>
        <v>-0.1005</v>
      </c>
      <c r="E35" s="84" t="n">
        <f aca="false">'Net Yield Build'!M41+'Net Yield Build'!M42+('Net Yield Build'!M44+'KPI 2 Booking Build'!E52)+'Net Yield Build'!M16</f>
        <v>-0.0712</v>
      </c>
      <c r="F35" s="84" t="n">
        <f aca="false">'Net Yield Build'!N41+'Net Yield Build'!N42+'Net Yield Build'!N17+'Net Yield Build'!N16</f>
        <v>-0.0184077015052919</v>
      </c>
      <c r="G35" s="84" t="n">
        <f aca="false">'Net Yield Build'!O41+'Net Yield Build'!O42+'Net Yield Build'!O17+'Net Yield Build'!O16</f>
        <v>-0.0137358862783894</v>
      </c>
      <c r="H35" s="84" t="n">
        <f aca="false">'Net Yield Build'!P41+'Net Yield Build'!P42+'Net Yield Build'!P17+'Net Yield Build'!P16</f>
        <v>0.0121641546944323</v>
      </c>
      <c r="I35" s="84" t="n">
        <f aca="false">'Net Yield Build'!Q41+'Net Yield Build'!Q42+'Net Yield Build'!Q17+'Net Yield Build'!Q16</f>
        <v>0.00890977676806387</v>
      </c>
    </row>
    <row r="36" customFormat="false" ht="15" hidden="false" customHeight="false" outlineLevel="0" collapsed="false">
      <c r="B36" s="9" t="s">
        <v>230</v>
      </c>
      <c r="D36" s="38" t="n">
        <f aca="false">'Net Yield Build'!H25*(1+D35)</f>
        <v>270.043513099893</v>
      </c>
      <c r="E36" s="38" t="n">
        <f aca="false">'Net Yield Build'!I25*(1+E35)</f>
        <v>220.034863463077</v>
      </c>
      <c r="F36" s="38" t="n">
        <f aca="false">'Net Yield Build'!J25*(1+F35)</f>
        <v>228.190581868514</v>
      </c>
      <c r="G36" s="38" t="n">
        <f aca="false">'Net Yield Build'!K25*(1+G35)</f>
        <v>252.902037051877</v>
      </c>
      <c r="H36" s="38" t="n">
        <f aca="false">D36*(1+H35)</f>
        <v>273.328364167468</v>
      </c>
      <c r="I36" s="38" t="n">
        <f aca="false">E36*(1+I35)</f>
        <v>221.995324977725</v>
      </c>
    </row>
    <row r="37" customFormat="false" ht="15" hidden="false" customHeight="false" outlineLevel="0" collapsed="false">
      <c r="B37" s="9" t="s">
        <v>60</v>
      </c>
      <c r="D37" s="38" t="n">
        <f aca="false">'Net Yield Build'!H26*(1+'Net Yield Build'!L45)</f>
        <v>135.27676288388</v>
      </c>
      <c r="E37" s="38" t="n">
        <f aca="false">'Net Yield Build'!I26*(1+'Net Yield Build'!M45)</f>
        <v>118.666451734362</v>
      </c>
      <c r="F37" s="38" t="n">
        <f aca="false">'Net Yield Build'!J26*(1+'Net Yield Build'!N18)</f>
        <v>123.070540357224</v>
      </c>
      <c r="G37" s="38" t="n">
        <f aca="false">'Net Yield Build'!K26*(1+'Net Yield Build'!O18)</f>
        <v>139.049389267714</v>
      </c>
      <c r="H37" s="38" t="n">
        <f aca="false">D37*(1+'Net Yield Build'!P18)</f>
        <v>140.011449584816</v>
      </c>
      <c r="I37" s="38" t="n">
        <f aca="false">E37*(1+'Net Yield Build'!Q18)</f>
        <v>122.819777545065</v>
      </c>
    </row>
    <row r="38" customFormat="false" ht="15" hidden="false" customHeight="false" outlineLevel="0" collapsed="false">
      <c r="B38" s="9" t="s">
        <v>231</v>
      </c>
      <c r="D38" s="37" t="n">
        <f aca="false">'Net Yield Build'!L19*D34*(D36*(1-'Net Yield Build'!L54)+D37*(1-'Net Yield Build'!L55))</f>
        <v>2129.5244476083</v>
      </c>
      <c r="E38" s="37" t="n">
        <f aca="false">'Net Yield Build'!M19*E34*(E36*(1-'Net Yield Build'!M54)+E37*(1-'Net Yield Build'!M55))</f>
        <v>1658.81688264031</v>
      </c>
      <c r="F38" s="37" t="n">
        <f aca="false">'Net Yield Build'!N19*F34*(F36*(1-'Net Yield Build'!N54)+F37*(1-'Net Yield Build'!N55))</f>
        <v>1804.66081473305</v>
      </c>
      <c r="G38" s="37" t="n">
        <f aca="false">'Net Yield Build'!O19*G34*(G36*(1-'Net Yield Build'!O54)+G37*(1-'Net Yield Build'!O55))</f>
        <v>1961.22305340281</v>
      </c>
      <c r="H38" s="37" t="n">
        <f aca="false">'Net Yield Build'!P19*H34*(H36*(1-'Net Yield Build'!P54)+H37*(1-'Net Yield Build'!P55))</f>
        <v>2294.92236950235</v>
      </c>
      <c r="I38" s="37" t="n">
        <f aca="false">'Net Yield Build'!Q19*I34*(I36*(1-'Net Yield Build'!Q54)+I37*(1-'Net Yield Build'!Q55))</f>
        <v>1802.06387525284</v>
      </c>
      <c r="J38" s="37" t="n">
        <f aca="false">SUM(F38:I38)</f>
        <v>7862.87011289106</v>
      </c>
    </row>
    <row r="39" customFormat="false" ht="15" hidden="false" customHeight="false" outlineLevel="0" collapsed="false">
      <c r="B39" s="19" t="s">
        <v>64</v>
      </c>
      <c r="J39" s="85" t="n">
        <f aca="false">J38-'Operating Model'!$G$45*(1+'Operating Model'!$H$11)*(1+'Operating Model'!$I$11)*'Net Yield Build'!$U$19-'Operating Model'!$H$47*('Net Yield Build'!$U$19/'Net Yield Build'!$T$19)*0.99*'Operating Model'!$I$16/1000</f>
        <v>2714.19086964611</v>
      </c>
    </row>
    <row r="41" customFormat="false" ht="15" hidden="false" customHeight="false" outlineLevel="0" collapsed="false">
      <c r="B41" s="19" t="s">
        <v>234</v>
      </c>
      <c r="D41" s="23" t="s">
        <v>66</v>
      </c>
      <c r="E41" s="23" t="s">
        <v>67</v>
      </c>
      <c r="F41" s="23" t="s">
        <v>68</v>
      </c>
      <c r="G41" s="23" t="s">
        <v>69</v>
      </c>
      <c r="H41" s="23" t="s">
        <v>70</v>
      </c>
      <c r="I41" s="23" t="s">
        <v>71</v>
      </c>
      <c r="J41" s="23" t="s">
        <v>227</v>
      </c>
    </row>
    <row r="42" customFormat="false" ht="15" hidden="false" customHeight="false" outlineLevel="0" collapsed="false">
      <c r="B42" s="9" t="s">
        <v>228</v>
      </c>
      <c r="D42" s="28" t="n">
        <f aca="false">'Net Yield Build'!L40</f>
        <v>-2.4</v>
      </c>
      <c r="E42" s="28" t="n">
        <f aca="false">'Net Yield Build'!M40</f>
        <v>-2.8</v>
      </c>
      <c r="F42" s="28" t="n">
        <f aca="false">'Net Yield Build'!N13</f>
        <v>-1</v>
      </c>
      <c r="G42" s="28" t="n">
        <f aca="false">'Net Yield Build'!O13</f>
        <v>0.5</v>
      </c>
      <c r="H42" s="28" t="n">
        <f aca="false">'Net Yield Build'!P13</f>
        <v>1.5</v>
      </c>
      <c r="I42" s="28" t="n">
        <f aca="false">'Net Yield Build'!Q13</f>
        <v>2</v>
      </c>
    </row>
    <row r="43" customFormat="false" ht="15" hidden="false" customHeight="false" outlineLevel="0" collapsed="false">
      <c r="B43" s="9" t="s">
        <v>58</v>
      </c>
      <c r="D43" s="11" t="n">
        <f aca="false">'Net Yield Build'!H20+D42/100</f>
        <v>1.03999588631264</v>
      </c>
      <c r="E43" s="11" t="n">
        <f aca="false">'Net Yield Build'!I20+E42/100</f>
        <v>0.989722852900321</v>
      </c>
      <c r="F43" s="11" t="n">
        <f aca="false">'Net Yield Build'!J20+F42/100</f>
        <v>1.0277756921633</v>
      </c>
      <c r="G43" s="11" t="n">
        <f aca="false">'Net Yield Build'!K20+G42/100</f>
        <v>1.02871883393781</v>
      </c>
      <c r="H43" s="11" t="n">
        <f aca="false">D43+H42/100</f>
        <v>1.05499588631264</v>
      </c>
      <c r="I43" s="11" t="n">
        <f aca="false">E43+I42/100</f>
        <v>1.00972285290032</v>
      </c>
    </row>
    <row r="44" customFormat="false" ht="15" hidden="false" customHeight="false" outlineLevel="0" collapsed="false">
      <c r="B44" s="9" t="s">
        <v>229</v>
      </c>
      <c r="D44" s="84" t="n">
        <f aca="false">'Net Yield Build'!L41+'Net Yield Build'!L42+('Net Yield Build'!L44+'KPI 2 Booking Build'!D52)+'Net Yield Build'!L16</f>
        <v>-0.1005</v>
      </c>
      <c r="E44" s="84" t="n">
        <f aca="false">'Net Yield Build'!M41+'Net Yield Build'!M42+('Net Yield Build'!M44+'KPI 2 Booking Build'!E52)+'Net Yield Build'!M16</f>
        <v>-0.0712</v>
      </c>
      <c r="F44" s="84" t="n">
        <f aca="false">'Net Yield Build'!N41+'Net Yield Build'!N42+('Net Yield Build'!N44+'KPI 2 Booking Build'!F52)+'Net Yield Build'!N16</f>
        <v>-0.0184077015052919</v>
      </c>
      <c r="G44" s="84" t="n">
        <f aca="false">'Net Yield Build'!O41+'Net Yield Build'!O42+('Net Yield Build'!O44+'KPI 2 Booking Build'!G52)+'Net Yield Build'!O16</f>
        <v>-0.0137358862783894</v>
      </c>
      <c r="H44" s="84" t="n">
        <f aca="false">'Net Yield Build'!P41+'Net Yield Build'!P42+('Net Yield Build'!P44+'KPI 2 Booking Build'!H52)+'Net Yield Build'!P16</f>
        <v>0.00558492587464795</v>
      </c>
      <c r="I44" s="84" t="n">
        <f aca="false">'Net Yield Build'!Q41+'Net Yield Build'!Q42+('Net Yield Build'!Q44+'KPI 2 Booking Build'!I52)+'Net Yield Build'!Q16</f>
        <v>0.00233054794827951</v>
      </c>
    </row>
    <row r="45" customFormat="false" ht="15" hidden="false" customHeight="false" outlineLevel="0" collapsed="false">
      <c r="B45" s="9" t="s">
        <v>230</v>
      </c>
      <c r="D45" s="38" t="n">
        <f aca="false">'Net Yield Build'!H25*(1+D44)</f>
        <v>270.043513099893</v>
      </c>
      <c r="E45" s="38" t="n">
        <f aca="false">'Net Yield Build'!I25*(1+E44)</f>
        <v>220.034863463077</v>
      </c>
      <c r="F45" s="38" t="n">
        <f aca="false">'Net Yield Build'!J25*(1+F44)</f>
        <v>228.190581868514</v>
      </c>
      <c r="G45" s="38" t="n">
        <f aca="false">'Net Yield Build'!K25*(1+G44)</f>
        <v>252.902037051877</v>
      </c>
      <c r="H45" s="38" t="n">
        <f aca="false">D45*(1+H44)</f>
        <v>271.551686103486</v>
      </c>
      <c r="I45" s="38" t="n">
        <f aca="false">E45*(1+I44)</f>
        <v>220.547665262671</v>
      </c>
    </row>
    <row r="46" customFormat="false" ht="15" hidden="false" customHeight="false" outlineLevel="0" collapsed="false">
      <c r="B46" s="9" t="s">
        <v>60</v>
      </c>
      <c r="D46" s="38" t="n">
        <f aca="false">'Net Yield Build'!H26*(1+'Net Yield Build'!L45)</f>
        <v>135.27676288388</v>
      </c>
      <c r="E46" s="38" t="n">
        <f aca="false">'Net Yield Build'!I26*(1+'Net Yield Build'!M45)</f>
        <v>118.666451734362</v>
      </c>
      <c r="F46" s="38" t="n">
        <f aca="false">'Net Yield Build'!J26*(1+'Net Yield Build'!N18)</f>
        <v>123.070540357224</v>
      </c>
      <c r="G46" s="38" t="n">
        <f aca="false">'Net Yield Build'!K26*(1+'Net Yield Build'!O18)</f>
        <v>139.049389267714</v>
      </c>
      <c r="H46" s="38" t="n">
        <f aca="false">D46*(1+'Net Yield Build'!P18)</f>
        <v>140.011449584816</v>
      </c>
      <c r="I46" s="38" t="n">
        <f aca="false">E46*(1+'Net Yield Build'!Q18)</f>
        <v>122.819777545065</v>
      </c>
    </row>
    <row r="47" customFormat="false" ht="15" hidden="false" customHeight="false" outlineLevel="0" collapsed="false">
      <c r="B47" s="9" t="s">
        <v>231</v>
      </c>
      <c r="D47" s="37" t="n">
        <f aca="false">'Net Yield Build'!L19*D43*(D45*(1-'Net Yield Build'!L54)+D46*(1-'Net Yield Build'!L55))</f>
        <v>2129.5244476083</v>
      </c>
      <c r="E47" s="37" t="n">
        <f aca="false">'Net Yield Build'!M19*E43*(E45*(1-'Net Yield Build'!M54)+E46*(1-'Net Yield Build'!M55))</f>
        <v>1658.81688264031</v>
      </c>
      <c r="F47" s="37" t="n">
        <f aca="false">'Net Yield Build'!N19*F43*(F45*(1-'Net Yield Build'!N54)+F46*(1-'Net Yield Build'!N55))</f>
        <v>1804.66081473305</v>
      </c>
      <c r="G47" s="37" t="n">
        <f aca="false">'Net Yield Build'!O19*G43*(G45*(1-'Net Yield Build'!O54)+G46*(1-'Net Yield Build'!O55))</f>
        <v>1961.22305340281</v>
      </c>
      <c r="H47" s="37" t="n">
        <f aca="false">'Net Yield Build'!P19*H43*(H45*(1-'Net Yield Build'!P54)+H46*(1-'Net Yield Build'!P55))</f>
        <v>2285.14030160539</v>
      </c>
      <c r="I47" s="37" t="n">
        <f aca="false">'Net Yield Build'!Q19*I43*(I45*(1-'Net Yield Build'!Q54)+I46*(1-'Net Yield Build'!Q55))</f>
        <v>1794.7550507956</v>
      </c>
      <c r="J47" s="37" t="n">
        <f aca="false">SUM(F47:I47)</f>
        <v>7845.77922053685</v>
      </c>
    </row>
    <row r="48" customFormat="false" ht="15" hidden="false" customHeight="false" outlineLevel="0" collapsed="false">
      <c r="B48" s="19" t="s">
        <v>64</v>
      </c>
      <c r="J48" s="85" t="n">
        <f aca="false">J47-'Operating Model'!$G$45*(1+'Operating Model'!$H$11)*(1+'Operating Model'!$I$11)*'Net Yield Build'!$U$19-'Operating Model'!$H$47*('Net Yield Build'!$U$19/'Net Yield Build'!$T$19)*0.99*'Operating Model'!$I$16/1000</f>
        <v>2697.09997729191</v>
      </c>
    </row>
    <row r="50" customFormat="false" ht="15" hidden="false" customHeight="false" outlineLevel="0" collapsed="false">
      <c r="B50" s="19" t="s">
        <v>235</v>
      </c>
      <c r="D50" s="23" t="s">
        <v>66</v>
      </c>
      <c r="E50" s="23" t="s">
        <v>67</v>
      </c>
      <c r="F50" s="23" t="s">
        <v>68</v>
      </c>
      <c r="G50" s="23" t="s">
        <v>69</v>
      </c>
      <c r="H50" s="23" t="s">
        <v>70</v>
      </c>
      <c r="I50" s="23" t="s">
        <v>71</v>
      </c>
      <c r="J50" s="23" t="s">
        <v>227</v>
      </c>
    </row>
    <row r="51" customFormat="false" ht="15" hidden="false" customHeight="false" outlineLevel="0" collapsed="false">
      <c r="B51" s="9" t="s">
        <v>228</v>
      </c>
      <c r="D51" s="28" t="n">
        <f aca="false">'Net Yield Build'!L40</f>
        <v>-2.4</v>
      </c>
      <c r="E51" s="28" t="n">
        <f aca="false">'Net Yield Build'!M40</f>
        <v>-2.8</v>
      </c>
      <c r="F51" s="28" t="n">
        <f aca="false">'Net Yield Build'!N40</f>
        <v>-2</v>
      </c>
      <c r="G51" s="28" t="n">
        <f aca="false">'Net Yield Build'!O40</f>
        <v>-0.5</v>
      </c>
      <c r="H51" s="28" t="n">
        <f aca="false">'Net Yield Build'!P40</f>
        <v>0.5</v>
      </c>
      <c r="I51" s="28" t="n">
        <f aca="false">'Net Yield Build'!Q40</f>
        <v>1</v>
      </c>
    </row>
    <row r="52" customFormat="false" ht="15" hidden="false" customHeight="false" outlineLevel="0" collapsed="false">
      <c r="B52" s="9" t="s">
        <v>58</v>
      </c>
      <c r="D52" s="11" t="n">
        <f aca="false">'Net Yield Build'!H20+D51/100</f>
        <v>1.03999588631264</v>
      </c>
      <c r="E52" s="11" t="n">
        <f aca="false">'Net Yield Build'!I20+E51/100</f>
        <v>0.989722852900321</v>
      </c>
      <c r="F52" s="11" t="n">
        <f aca="false">'Net Yield Build'!J20+F51/100</f>
        <v>1.0177756921633</v>
      </c>
      <c r="G52" s="11" t="n">
        <f aca="false">'Net Yield Build'!K20+G51/100</f>
        <v>1.01871883393781</v>
      </c>
      <c r="H52" s="11" t="n">
        <f aca="false">D52+H51/100</f>
        <v>1.04499588631264</v>
      </c>
      <c r="I52" s="11" t="n">
        <f aca="false">E52+I51/100</f>
        <v>0.999722852900321</v>
      </c>
    </row>
    <row r="53" customFormat="false" ht="15" hidden="false" customHeight="false" outlineLevel="0" collapsed="false">
      <c r="B53" s="9" t="s">
        <v>229</v>
      </c>
      <c r="D53" s="84" t="n">
        <f aca="false">'Net Yield Build'!L41+'Net Yield Build'!L42+('Net Yield Build'!L44+'KPI 2 Booking Build'!D52)+'Net Yield Build'!L16</f>
        <v>-0.1005</v>
      </c>
      <c r="E53" s="84" t="n">
        <f aca="false">'Net Yield Build'!M41+'Net Yield Build'!M42+('Net Yield Build'!M44+'KPI 2 Booking Build'!E52)+'Net Yield Build'!M16</f>
        <v>-0.0712</v>
      </c>
      <c r="F53" s="84" t="n">
        <f aca="false">'Net Yield Build'!N41+'Net Yield Build'!N42+('Net Yield Build'!N44+'KPI 2 Booking Build'!F52)+'Net Yield Build'!N16</f>
        <v>-0.0184077015052919</v>
      </c>
      <c r="G53" s="84" t="n">
        <f aca="false">'Net Yield Build'!O41+'Net Yield Build'!O42+('Net Yield Build'!O44+'KPI 2 Booking Build'!G52)+'Net Yield Build'!O16</f>
        <v>-0.0137358862783894</v>
      </c>
      <c r="H53" s="84" t="n">
        <f aca="false">'Net Yield Build'!P41+'Net Yield Build'!P42+('Net Yield Build'!P44+'KPI 2 Booking Build'!H52)+'Net Yield Build'!P16</f>
        <v>0.00558492587464795</v>
      </c>
      <c r="I53" s="84" t="n">
        <f aca="false">'Net Yield Build'!Q41+'Net Yield Build'!Q42+('Net Yield Build'!Q44+'KPI 2 Booking Build'!I52)+'Net Yield Build'!Q16</f>
        <v>0.00233054794827951</v>
      </c>
    </row>
    <row r="54" customFormat="false" ht="15" hidden="false" customHeight="false" outlineLevel="0" collapsed="false">
      <c r="B54" s="9" t="s">
        <v>230</v>
      </c>
      <c r="D54" s="38" t="n">
        <f aca="false">'Net Yield Build'!H25*(1+D53)</f>
        <v>270.043513099893</v>
      </c>
      <c r="E54" s="38" t="n">
        <f aca="false">'Net Yield Build'!I25*(1+E53)</f>
        <v>220.034863463077</v>
      </c>
      <c r="F54" s="38" t="n">
        <f aca="false">'Net Yield Build'!J25*(1+F53)</f>
        <v>228.190581868514</v>
      </c>
      <c r="G54" s="38" t="n">
        <f aca="false">'Net Yield Build'!K25*(1+G53)</f>
        <v>252.902037051877</v>
      </c>
      <c r="H54" s="38" t="n">
        <f aca="false">D54*(1+H53)</f>
        <v>271.551686103486</v>
      </c>
      <c r="I54" s="38" t="n">
        <f aca="false">E54*(1+I53)</f>
        <v>220.547665262671</v>
      </c>
    </row>
    <row r="55" customFormat="false" ht="15" hidden="false" customHeight="false" outlineLevel="0" collapsed="false">
      <c r="B55" s="9" t="s">
        <v>60</v>
      </c>
      <c r="D55" s="38" t="n">
        <f aca="false">'Net Yield Build'!H26*(1+'Net Yield Build'!L45)</f>
        <v>135.27676288388</v>
      </c>
      <c r="E55" s="38" t="n">
        <f aca="false">'Net Yield Build'!I26*(1+'Net Yield Build'!M45)</f>
        <v>118.666451734362</v>
      </c>
      <c r="F55" s="38" t="n">
        <f aca="false">'Net Yield Build'!J26*(1+'Net Yield Build'!N18)</f>
        <v>123.070540357224</v>
      </c>
      <c r="G55" s="38" t="n">
        <f aca="false">'Net Yield Build'!K26*(1+'Net Yield Build'!O18)</f>
        <v>139.049389267714</v>
      </c>
      <c r="H55" s="38" t="n">
        <f aca="false">D55*(1+'Net Yield Build'!P18)</f>
        <v>140.011449584816</v>
      </c>
      <c r="I55" s="38" t="n">
        <f aca="false">E55*(1+'Net Yield Build'!Q18)</f>
        <v>122.819777545065</v>
      </c>
    </row>
    <row r="56" customFormat="false" ht="15" hidden="false" customHeight="false" outlineLevel="0" collapsed="false">
      <c r="B56" s="9" t="s">
        <v>231</v>
      </c>
      <c r="D56" s="37" t="n">
        <f aca="false">'Net Yield Build'!L19*D52*(D54*(1-'Net Yield Build'!L54)+D55*(1-'Net Yield Build'!L55))</f>
        <v>2129.5244476083</v>
      </c>
      <c r="E56" s="37" t="n">
        <f aca="false">'Net Yield Build'!M19*E52*(E54*(1-'Net Yield Build'!M54)+E55*(1-'Net Yield Build'!M55))</f>
        <v>1658.81688264031</v>
      </c>
      <c r="F56" s="37" t="n">
        <f aca="false">'Net Yield Build'!N19*F52*(F54*(1-'Net Yield Build'!N54)+F55*(1-'Net Yield Build'!N55))</f>
        <v>1787.10191712054</v>
      </c>
      <c r="G56" s="37" t="n">
        <f aca="false">'Net Yield Build'!O19*G52*(G54*(1-'Net Yield Build'!O54)+G55*(1-'Net Yield Build'!O55))</f>
        <v>1942.15833922921</v>
      </c>
      <c r="H56" s="37" t="n">
        <f aca="false">'Net Yield Build'!P19*H52*(H54*(1-'Net Yield Build'!P54)+H55*(1-'Net Yield Build'!P55))</f>
        <v>2263.48011950182</v>
      </c>
      <c r="I56" s="37" t="n">
        <f aca="false">'Net Yield Build'!Q19*I52*(I54*(1-'Net Yield Build'!Q54)+I55*(1-'Net Yield Build'!Q55))</f>
        <v>1776.98032136721</v>
      </c>
      <c r="J56" s="37" t="n">
        <f aca="false">SUM(F56:I56)</f>
        <v>7769.72069721878</v>
      </c>
    </row>
    <row r="57" customFormat="false" ht="15" hidden="false" customHeight="false" outlineLevel="0" collapsed="false">
      <c r="B57" s="19" t="s">
        <v>64</v>
      </c>
      <c r="J57" s="85" t="n">
        <f aca="false">J56-'Operating Model'!$G$45*(1+'Operating Model'!$H$11)*(1+'Operating Model'!$I$11)*'Net Yield Build'!$U$19-'Operating Model'!$H$47*('Net Yield Build'!$U$19/'Net Yield Build'!$T$19)*0.99*'Operating Model'!$I$16/1000</f>
        <v>2621.04145397383</v>
      </c>
    </row>
    <row r="59" customFormat="false" ht="15" hidden="false" customHeight="false" outlineLevel="0" collapsed="false">
      <c r="B59" s="19" t="s">
        <v>236</v>
      </c>
      <c r="D59" s="23" t="s">
        <v>66</v>
      </c>
      <c r="E59" s="23" t="s">
        <v>67</v>
      </c>
      <c r="F59" s="23" t="s">
        <v>68</v>
      </c>
      <c r="G59" s="23" t="s">
        <v>69</v>
      </c>
      <c r="H59" s="23" t="s">
        <v>70</v>
      </c>
      <c r="I59" s="23" t="s">
        <v>71</v>
      </c>
      <c r="J59" s="23" t="s">
        <v>227</v>
      </c>
    </row>
    <row r="60" customFormat="false" ht="15" hidden="false" customHeight="false" outlineLevel="0" collapsed="false">
      <c r="B60" s="9" t="s">
        <v>228</v>
      </c>
      <c r="D60" s="28" t="n">
        <f aca="false">'Net Yield Build'!L40</f>
        <v>-2.4</v>
      </c>
      <c r="E60" s="28" t="n">
        <f aca="false">'Net Yield Build'!M40</f>
        <v>-2.8</v>
      </c>
      <c r="F60" s="28" t="n">
        <f aca="false">'Net Yield Build'!N40</f>
        <v>-2</v>
      </c>
      <c r="G60" s="28" t="n">
        <f aca="false">'Net Yield Build'!O40</f>
        <v>-0.5</v>
      </c>
      <c r="H60" s="28" t="n">
        <f aca="false">'Net Yield Build'!P40</f>
        <v>0.5</v>
      </c>
      <c r="I60" s="28" t="n">
        <f aca="false">'Net Yield Build'!Q40</f>
        <v>1</v>
      </c>
    </row>
    <row r="61" customFormat="false" ht="15" hidden="false" customHeight="false" outlineLevel="0" collapsed="false">
      <c r="B61" s="9" t="s">
        <v>58</v>
      </c>
      <c r="D61" s="11" t="n">
        <f aca="false">'Net Yield Build'!H20+D60/100</f>
        <v>1.03999588631264</v>
      </c>
      <c r="E61" s="11" t="n">
        <f aca="false">'Net Yield Build'!I20+E60/100</f>
        <v>0.989722852900321</v>
      </c>
      <c r="F61" s="11" t="n">
        <f aca="false">'Net Yield Build'!J20+F60/100</f>
        <v>1.0177756921633</v>
      </c>
      <c r="G61" s="11" t="n">
        <f aca="false">'Net Yield Build'!K20+G60/100</f>
        <v>1.01871883393781</v>
      </c>
      <c r="H61" s="11" t="n">
        <f aca="false">D61+H60/100</f>
        <v>1.04499588631264</v>
      </c>
      <c r="I61" s="11" t="n">
        <f aca="false">E61+I60/100</f>
        <v>0.999722852900321</v>
      </c>
    </row>
    <row r="62" customFormat="false" ht="15" hidden="false" customHeight="false" outlineLevel="0" collapsed="false">
      <c r="B62" s="9" t="s">
        <v>229</v>
      </c>
      <c r="D62" s="84" t="n">
        <f aca="false">'Net Yield Build'!L41+'Net Yield Build'!L42+('Net Yield Build'!L44+'KPI 2 Booking Build'!D52)+'Net Yield Build'!L16</f>
        <v>-0.1005</v>
      </c>
      <c r="E62" s="84" t="n">
        <f aca="false">'Net Yield Build'!M41+'Net Yield Build'!M42+('Net Yield Build'!M44+'KPI 2 Booking Build'!E52)+'Net Yield Build'!M16</f>
        <v>-0.0712</v>
      </c>
      <c r="F62" s="84" t="n">
        <f aca="false">'Net Yield Build'!N41+'Net Yield Build'!N42+('Net Yield Build'!N44+'KPI 2 Booking Build'!F52)+'Net Yield Build'!N16</f>
        <v>-0.0184077015052919</v>
      </c>
      <c r="G62" s="84" t="n">
        <f aca="false">'Net Yield Build'!O41+'Net Yield Build'!O42+('Net Yield Build'!O44+'KPI 2 Booking Build'!G52)+'Net Yield Build'!O16</f>
        <v>-0.0137358862783894</v>
      </c>
      <c r="H62" s="84" t="n">
        <f aca="false">'Net Yield Build'!P41+'Net Yield Build'!P42+('Net Yield Build'!P44+'KPI 2 Booking Build'!H52)+'Net Yield Build'!P16</f>
        <v>0.00558492587464795</v>
      </c>
      <c r="I62" s="84" t="n">
        <f aca="false">'Net Yield Build'!Q41+'Net Yield Build'!Q42+('Net Yield Build'!Q44+'KPI 2 Booking Build'!I52)+'Net Yield Build'!Q16</f>
        <v>0.00233054794827951</v>
      </c>
    </row>
    <row r="63" customFormat="false" ht="15" hidden="false" customHeight="false" outlineLevel="0" collapsed="false">
      <c r="B63" s="9" t="s">
        <v>230</v>
      </c>
      <c r="D63" s="38" t="n">
        <f aca="false">'Net Yield Build'!H25*(1+D62)</f>
        <v>270.043513099893</v>
      </c>
      <c r="E63" s="38" t="n">
        <f aca="false">'Net Yield Build'!I25*(1+E62)</f>
        <v>220.034863463077</v>
      </c>
      <c r="F63" s="38" t="n">
        <f aca="false">'Net Yield Build'!J25*(1+F62)</f>
        <v>228.190581868514</v>
      </c>
      <c r="G63" s="38" t="n">
        <f aca="false">'Net Yield Build'!K25*(1+G62)</f>
        <v>252.902037051877</v>
      </c>
      <c r="H63" s="38" t="n">
        <f aca="false">D63*(1+H62)</f>
        <v>271.551686103486</v>
      </c>
      <c r="I63" s="38" t="n">
        <f aca="false">E63*(1+I62)</f>
        <v>220.547665262671</v>
      </c>
    </row>
    <row r="64" customFormat="false" ht="15" hidden="false" customHeight="false" outlineLevel="0" collapsed="false">
      <c r="B64" s="9" t="s">
        <v>60</v>
      </c>
      <c r="D64" s="38" t="n">
        <f aca="false">'Net Yield Build'!H26*(1+'Net Yield Build'!L45)</f>
        <v>135.27676288388</v>
      </c>
      <c r="E64" s="38" t="n">
        <f aca="false">'Net Yield Build'!I26*(1+'Net Yield Build'!M45)</f>
        <v>118.666451734362</v>
      </c>
      <c r="F64" s="38" t="n">
        <f aca="false">'Net Yield Build'!J26*(1+'Net Yield Build'!N45)</f>
        <v>121.286909337554</v>
      </c>
      <c r="G64" s="38" t="n">
        <f aca="false">'Net Yield Build'!K26*(1+'Net Yield Build'!O45)</f>
        <v>137.024398161874</v>
      </c>
      <c r="H64" s="38" t="n">
        <f aca="false">D64*(1+'Net Yield Build'!P45)</f>
        <v>137.982298141558</v>
      </c>
      <c r="I64" s="38" t="n">
        <f aca="false">E64*(1+'Net Yield Build'!Q45)</f>
        <v>121.03978076905</v>
      </c>
    </row>
    <row r="65" customFormat="false" ht="15" hidden="false" customHeight="false" outlineLevel="0" collapsed="false">
      <c r="B65" s="9" t="s">
        <v>231</v>
      </c>
      <c r="D65" s="37" t="n">
        <f aca="false">'Net Yield Build'!L19*D61*(D63*(1-'Net Yield Build'!L54)+D64*(1-'Net Yield Build'!L55))</f>
        <v>2129.5244476083</v>
      </c>
      <c r="E65" s="37" t="n">
        <f aca="false">'Net Yield Build'!M19*E61*(E63*(1-'Net Yield Build'!M54)+E64*(1-'Net Yield Build'!M55))</f>
        <v>1658.81688264031</v>
      </c>
      <c r="F65" s="37" t="n">
        <f aca="false">'Net Yield Build'!N19*F61*(F63*(1-'Net Yield Build'!N54)+F64*(1-'Net Yield Build'!N55))</f>
        <v>1777.41740120502</v>
      </c>
      <c r="G65" s="37" t="n">
        <f aca="false">'Net Yield Build'!O19*G61*(G63*(1-'Net Yield Build'!O54)+G64*(1-'Net Yield Build'!O55))</f>
        <v>1931.41358732969</v>
      </c>
      <c r="H65" s="37" t="n">
        <f aca="false">'Net Yield Build'!P19*H61*(H63*(1-'Net Yield Build'!P54)+H64*(1-'Net Yield Build'!P55))</f>
        <v>2252.13899726518</v>
      </c>
      <c r="I65" s="37" t="n">
        <f aca="false">'Net Yield Build'!Q19*I61*(I63*(1-'Net Yield Build'!Q54)+I64*(1-'Net Yield Build'!Q55))</f>
        <v>1767.20459462291</v>
      </c>
      <c r="J65" s="37" t="n">
        <f aca="false">SUM(F65:I65)</f>
        <v>7728.1745804228</v>
      </c>
    </row>
    <row r="66" customFormat="false" ht="15" hidden="false" customHeight="false" outlineLevel="0" collapsed="false">
      <c r="B66" s="19" t="s">
        <v>64</v>
      </c>
      <c r="J66" s="85" t="n">
        <f aca="false">J65-'Operating Model'!$G$45*(1+'Operating Model'!$H$11)*(1+'Operating Model'!$I$11)*'Net Yield Build'!$U$19-'Operating Model'!$H$47*('Net Yield Build'!$U$19/'Net Yield Build'!$T$19)*0.99*'Operating Model'!$I$16/1000</f>
        <v>2579.49533717785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9"/>
  <sheetViews>
    <sheetView showFormulas="false" showGridLines="false" showRowColHeaders="true" showZeros="true" rightToLeft="false" tabSelected="false" showOutlineSymbols="true" defaultGridColor="true" view="normal" topLeftCell="A1" colorId="64" zoomScale="164" zoomScaleNormal="164" zoomScalePageLayoutView="100" workbookViewId="0">
      <pane xSplit="5" ySplit="3" topLeftCell="F59" activePane="bottomRight" state="frozen"/>
      <selection pane="topLeft" activeCell="A1" activeCellId="0" sqref="A1"/>
      <selection pane="topRight" activeCell="F1" activeCellId="0" sqref="F1"/>
      <selection pane="bottomLeft" activeCell="A59" activeCellId="0" sqref="A59"/>
      <selection pane="bottomRight" activeCell="D93" activeCellId="0" sqref="D93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5" min="3" style="0" width="2"/>
    <col collapsed="false" customWidth="true" hidden="false" outlineLevel="0" max="12" min="6" style="0" width="12"/>
  </cols>
  <sheetData>
    <row r="2" customFormat="false" ht="15" hidden="false" customHeight="false" outlineLevel="0" collapsed="false">
      <c r="B2" s="20" t="s">
        <v>237</v>
      </c>
      <c r="C2" s="20"/>
      <c r="D2" s="20"/>
      <c r="E2" s="20"/>
      <c r="F2" s="86" t="s">
        <v>238</v>
      </c>
      <c r="G2" s="86" t="s">
        <v>239</v>
      </c>
      <c r="H2" s="86" t="s">
        <v>240</v>
      </c>
      <c r="I2" s="86" t="s">
        <v>227</v>
      </c>
      <c r="J2" s="86" t="s">
        <v>241</v>
      </c>
      <c r="K2" s="86" t="s">
        <v>242</v>
      </c>
      <c r="L2" s="86" t="s">
        <v>243</v>
      </c>
    </row>
    <row r="3" customFormat="false" ht="15" hidden="false" customHeight="false" outlineLevel="0" collapsed="false">
      <c r="B3" s="20" t="s">
        <v>244</v>
      </c>
      <c r="C3" s="20"/>
      <c r="D3" s="20"/>
      <c r="E3" s="20"/>
      <c r="F3" s="86" t="s">
        <v>245</v>
      </c>
      <c r="G3" s="86" t="s">
        <v>246</v>
      </c>
      <c r="H3" s="86" t="s">
        <v>247</v>
      </c>
      <c r="I3" s="86" t="s">
        <v>248</v>
      </c>
      <c r="J3" s="86" t="s">
        <v>249</v>
      </c>
      <c r="K3" s="86" t="s">
        <v>250</v>
      </c>
      <c r="L3" s="86" t="s">
        <v>251</v>
      </c>
    </row>
    <row r="5" customFormat="false" ht="15" hidden="false" customHeight="false" outlineLevel="0" collapsed="false">
      <c r="B5" s="4" t="s">
        <v>252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false" outlineLevel="0" collapsed="false">
      <c r="B6" s="9" t="s">
        <v>253</v>
      </c>
      <c r="J6" s="87" t="n">
        <v>0.035</v>
      </c>
      <c r="K6" s="87" t="n">
        <v>0.03</v>
      </c>
      <c r="L6" s="87" t="n">
        <v>0.03</v>
      </c>
    </row>
    <row r="7" customFormat="false" ht="15" hidden="false" customHeight="false" outlineLevel="0" collapsed="false">
      <c r="B7" s="9" t="s">
        <v>254</v>
      </c>
      <c r="J7" s="87" t="n">
        <v>0.025</v>
      </c>
      <c r="K7" s="87" t="n">
        <v>0.025</v>
      </c>
      <c r="L7" s="87" t="n">
        <v>0.025</v>
      </c>
    </row>
    <row r="8" customFormat="false" ht="15" hidden="false" customHeight="false" outlineLevel="0" collapsed="false">
      <c r="B8" s="9" t="s">
        <v>255</v>
      </c>
      <c r="J8" s="87" t="n">
        <v>0.01</v>
      </c>
      <c r="K8" s="87" t="n">
        <v>0.015</v>
      </c>
      <c r="L8" s="87" t="n">
        <v>0.015</v>
      </c>
    </row>
    <row r="9" customFormat="false" ht="15" hidden="false" customHeight="false" outlineLevel="0" collapsed="false">
      <c r="B9" s="19" t="s">
        <v>256</v>
      </c>
      <c r="J9" s="88" t="n">
        <f aca="false">CHOOSE(DCF!$C$9,J6,J7,J8)</f>
        <v>0.025</v>
      </c>
      <c r="K9" s="88" t="n">
        <f aca="false">CHOOSE(DCF!$C$9,K6,K7,K8)</f>
        <v>0.025</v>
      </c>
      <c r="L9" s="88" t="n">
        <f aca="false">CHOOSE(DCF!$C$9,L6,L7,L8)</f>
        <v>0.025</v>
      </c>
    </row>
    <row r="11" customFormat="false" ht="15" hidden="false" customHeight="false" outlineLevel="0" collapsed="false">
      <c r="B11" s="9" t="s">
        <v>257</v>
      </c>
      <c r="H11" s="87" t="n">
        <v>0</v>
      </c>
      <c r="I11" s="87" t="n">
        <v>-0.005</v>
      </c>
      <c r="J11" s="87" t="n">
        <v>0.015</v>
      </c>
      <c r="K11" s="87" t="n">
        <v>0.015</v>
      </c>
      <c r="L11" s="87" t="n">
        <v>0.015</v>
      </c>
    </row>
    <row r="12" customFormat="false" ht="15" hidden="false" customHeight="false" outlineLevel="0" collapsed="false">
      <c r="B12" s="9" t="s">
        <v>258</v>
      </c>
      <c r="H12" s="87" t="n">
        <v>0</v>
      </c>
      <c r="I12" s="87" t="n">
        <v>0.01</v>
      </c>
      <c r="J12" s="87" t="n">
        <v>0.02</v>
      </c>
      <c r="K12" s="87" t="n">
        <v>0.02</v>
      </c>
      <c r="L12" s="87" t="n">
        <v>0.02</v>
      </c>
    </row>
    <row r="13" customFormat="false" ht="15" hidden="false" customHeight="false" outlineLevel="0" collapsed="false">
      <c r="B13" s="9" t="s">
        <v>259</v>
      </c>
      <c r="H13" s="87" t="n">
        <v>0</v>
      </c>
      <c r="I13" s="87" t="n">
        <v>0.015</v>
      </c>
      <c r="J13" s="87" t="n">
        <v>0.025</v>
      </c>
      <c r="K13" s="87" t="n">
        <v>0.025</v>
      </c>
      <c r="L13" s="87" t="n">
        <v>0.025</v>
      </c>
    </row>
    <row r="14" customFormat="false" ht="15" hidden="false" customHeight="false" outlineLevel="0" collapsed="false">
      <c r="B14" s="19" t="s">
        <v>260</v>
      </c>
      <c r="H14" s="88" t="n">
        <f aca="false">CHOOSE(DCF!$C$9,H11,H12,H13)</f>
        <v>0</v>
      </c>
      <c r="I14" s="88" t="n">
        <f aca="false">CHOOSE(DCF!$C$9,I11,I12,I13)</f>
        <v>0.01</v>
      </c>
      <c r="J14" s="88" t="n">
        <f aca="false">CHOOSE(DCF!$C$9,J11,J12,J13)</f>
        <v>0.02</v>
      </c>
      <c r="K14" s="88" t="n">
        <f aca="false">CHOOSE(DCF!$C$9,K11,K12,K13)</f>
        <v>0.02</v>
      </c>
      <c r="L14" s="88" t="n">
        <f aca="false">CHOOSE(DCF!$C$9,L11,L12,L13)</f>
        <v>0.02</v>
      </c>
    </row>
    <row r="16" customFormat="false" ht="15" hidden="false" customHeight="false" outlineLevel="0" collapsed="false">
      <c r="B16" s="9" t="s">
        <v>261</v>
      </c>
      <c r="H16" s="89" t="n">
        <v>790</v>
      </c>
      <c r="I16" s="89" t="n">
        <v>760</v>
      </c>
      <c r="J16" s="89" t="n">
        <v>760</v>
      </c>
      <c r="K16" s="89" t="n">
        <v>760</v>
      </c>
      <c r="L16" s="89" t="n">
        <v>760</v>
      </c>
    </row>
    <row r="17" customFormat="false" ht="15" hidden="false" customHeight="false" outlineLevel="0" collapsed="false">
      <c r="B17" s="9" t="s">
        <v>262</v>
      </c>
      <c r="H17" s="89" t="n">
        <v>810</v>
      </c>
      <c r="I17" s="89" t="n">
        <v>800</v>
      </c>
      <c r="J17" s="89" t="n">
        <v>800</v>
      </c>
      <c r="K17" s="89" t="n">
        <v>800</v>
      </c>
      <c r="L17" s="89" t="n">
        <v>800</v>
      </c>
    </row>
    <row r="18" customFormat="false" ht="15" hidden="false" customHeight="false" outlineLevel="0" collapsed="false">
      <c r="B18" s="9" t="s">
        <v>263</v>
      </c>
      <c r="H18" s="89" t="n">
        <v>830</v>
      </c>
      <c r="I18" s="89" t="n">
        <v>850</v>
      </c>
      <c r="J18" s="89" t="n">
        <v>850</v>
      </c>
      <c r="K18" s="89" t="n">
        <v>850</v>
      </c>
      <c r="L18" s="89" t="n">
        <v>850</v>
      </c>
    </row>
    <row r="19" customFormat="false" ht="15" hidden="false" customHeight="false" outlineLevel="0" collapsed="false">
      <c r="B19" s="19" t="s">
        <v>264</v>
      </c>
      <c r="H19" s="90" t="n">
        <f aca="false">CHOOSE(DCF!$C$9,H16,H17,H18)</f>
        <v>810</v>
      </c>
      <c r="I19" s="90" t="n">
        <f aca="false">CHOOSE(DCF!$C$9,I16,I17,I18)</f>
        <v>800</v>
      </c>
      <c r="J19" s="90" t="n">
        <f aca="false">CHOOSE(DCF!$C$9,J16,J17,J18)</f>
        <v>800</v>
      </c>
      <c r="K19" s="90" t="n">
        <f aca="false">CHOOSE(DCF!$C$9,K16,K17,K18)</f>
        <v>800</v>
      </c>
      <c r="L19" s="90" t="n">
        <f aca="false">CHOOSE(DCF!$C$9,L16,L17,L18)</f>
        <v>800</v>
      </c>
    </row>
    <row r="21" customFormat="false" ht="15" hidden="false" customHeight="false" outlineLevel="0" collapsed="false">
      <c r="B21" s="9" t="s">
        <v>265</v>
      </c>
      <c r="H21" s="89" t="n">
        <v>3200</v>
      </c>
    </row>
    <row r="22" customFormat="false" ht="15" hidden="false" customHeight="false" outlineLevel="0" collapsed="false">
      <c r="B22" s="9" t="s">
        <v>266</v>
      </c>
      <c r="H22" s="89" t="n">
        <v>3000</v>
      </c>
    </row>
    <row r="23" customFormat="false" ht="15" hidden="false" customHeight="false" outlineLevel="0" collapsed="false">
      <c r="B23" s="9" t="s">
        <v>267</v>
      </c>
      <c r="H23" s="89" t="n">
        <v>2900</v>
      </c>
    </row>
    <row r="24" customFormat="false" ht="15" hidden="false" customHeight="false" outlineLevel="0" collapsed="false">
      <c r="B24" s="19" t="s">
        <v>268</v>
      </c>
      <c r="H24" s="90" t="n">
        <f aca="false">CHOOSE(DCF!$C$9,H21,H22,H23)</f>
        <v>3000</v>
      </c>
    </row>
    <row r="26" customFormat="false" ht="15" hidden="false" customHeight="false" outlineLevel="0" collapsed="false">
      <c r="B26" s="4" t="s">
        <v>269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B27" s="9" t="s">
        <v>270</v>
      </c>
      <c r="F27" s="91" t="n">
        <f aca="false">'Quarterly (A)'!L29</f>
        <v>23.4454</v>
      </c>
      <c r="G27" s="91" t="n">
        <f aca="false">'Quarterly (A)'!M29</f>
        <v>24.4336</v>
      </c>
      <c r="H27" s="91" t="n">
        <f aca="false">'Net Yield Build'!T94</f>
        <v>26.249873492</v>
      </c>
      <c r="I27" s="91" t="n">
        <f aca="false">'Net Yield Build'!U94</f>
        <v>27.1219331141923</v>
      </c>
      <c r="J27" s="92" t="n">
        <f aca="false">I27*(1+J28)</f>
        <v>27.9637192937644</v>
      </c>
      <c r="K27" s="92" t="n">
        <f aca="false">J27*(1+K28)</f>
        <v>29.0491731054229</v>
      </c>
      <c r="L27" s="92" t="n">
        <f aca="false">K27*(1+L28)</f>
        <v>30.3341850702426</v>
      </c>
    </row>
    <row r="28" customFormat="false" ht="15" hidden="false" customHeight="false" outlineLevel="0" collapsed="false">
      <c r="B28" s="9" t="s">
        <v>271</v>
      </c>
      <c r="G28" s="11" t="n">
        <f aca="false">G27/F27-1</f>
        <v>0.042148992979433</v>
      </c>
      <c r="H28" s="11" t="n">
        <f aca="false">H27/G27-1</f>
        <v>0.0743350751424268</v>
      </c>
      <c r="I28" s="11" t="n">
        <f aca="false">I27/H27-1</f>
        <v>0.0332214790466741</v>
      </c>
      <c r="J28" s="24" t="n">
        <f aca="false">'Fleet Build'!L60</f>
        <v>0.0310371010808064</v>
      </c>
      <c r="K28" s="24" t="n">
        <f aca="false">'Fleet Build'!M60</f>
        <v>0.0388165036365749</v>
      </c>
      <c r="L28" s="24" t="n">
        <f aca="false">'Fleet Build'!N60</f>
        <v>0.0442357501935162</v>
      </c>
    </row>
    <row r="29" customFormat="false" ht="15" hidden="false" customHeight="false" outlineLevel="0" collapsed="false">
      <c r="B29" s="9" t="s">
        <v>58</v>
      </c>
      <c r="F29" s="24" t="n">
        <f aca="false">'Quarterly (A)'!L31</f>
        <v>1.04896056369266</v>
      </c>
      <c r="G29" s="24" t="n">
        <f aca="false">'Quarterly (A)'!M31</f>
        <v>1.03457533887761</v>
      </c>
      <c r="H29" s="24" t="n">
        <f aca="false">'Net Yield Build'!T95</f>
        <v>1.02298307179026</v>
      </c>
      <c r="I29" s="24" t="n">
        <f aca="false">'Net Yield Build'!U95</f>
        <v>1.02064239726635</v>
      </c>
      <c r="J29" s="11" t="n">
        <f aca="false">I29</f>
        <v>1.02064239726635</v>
      </c>
      <c r="K29" s="11" t="n">
        <f aca="false">J29</f>
        <v>1.02064239726635</v>
      </c>
      <c r="L29" s="11" t="n">
        <f aca="false">K29</f>
        <v>1.02064239726635</v>
      </c>
    </row>
    <row r="30" customFormat="false" ht="15" hidden="false" customHeight="false" outlineLevel="0" collapsed="false">
      <c r="B30" s="9" t="s">
        <v>272</v>
      </c>
      <c r="F30" s="92" t="n">
        <f aca="false">F27*F29</f>
        <v>24.5933</v>
      </c>
      <c r="G30" s="92" t="n">
        <f aca="false">G27*G29</f>
        <v>25.2784</v>
      </c>
      <c r="H30" s="92" t="n">
        <f aca="false">H27*H29</f>
        <v>26.853176218952</v>
      </c>
      <c r="I30" s="92" t="n">
        <f aca="false">I27*I29</f>
        <v>27.6817948321668</v>
      </c>
      <c r="J30" s="92" t="n">
        <f aca="false">J27*J29</f>
        <v>28.5409574964709</v>
      </c>
      <c r="K30" s="92" t="n">
        <f aca="false">K27*K29</f>
        <v>29.648817676924</v>
      </c>
      <c r="L30" s="92" t="n">
        <f aca="false">L27*L29</f>
        <v>30.9603553692135</v>
      </c>
    </row>
    <row r="31" customFormat="false" ht="15" hidden="false" customHeight="false" outlineLevel="0" collapsed="false">
      <c r="B31" s="19" t="s">
        <v>62</v>
      </c>
      <c r="F31" s="93" t="n">
        <f aca="false">'Quarterly (A)'!L32</f>
        <v>294.328738259957</v>
      </c>
      <c r="G31" s="93" t="n">
        <f aca="false">'Quarterly (A)'!M32</f>
        <v>301.096195403052</v>
      </c>
      <c r="H31" s="93" t="n">
        <f aca="false">'Net Yield Build'!T102</f>
        <v>287.030691121039</v>
      </c>
      <c r="I31" s="93" t="n">
        <f aca="false">'Net Yield Build'!U102</f>
        <v>284.941878880263</v>
      </c>
      <c r="J31" s="94" t="n">
        <f aca="false">I31*(1+J9)</f>
        <v>292.06542585227</v>
      </c>
      <c r="K31" s="94" t="n">
        <f aca="false">J31*(1+K9)</f>
        <v>299.367061498577</v>
      </c>
      <c r="L31" s="94" t="n">
        <f aca="false">K31*(1+L9)</f>
        <v>306.851238036041</v>
      </c>
    </row>
    <row r="32" customFormat="false" ht="15" hidden="false" customHeight="false" outlineLevel="0" collapsed="false">
      <c r="B32" s="19" t="s">
        <v>273</v>
      </c>
      <c r="G32" s="88" t="n">
        <f aca="false">G31/F31-1</f>
        <v>0.0229928520847233</v>
      </c>
      <c r="H32" s="88" t="n">
        <f aca="false">H31/G31-1</f>
        <v>-0.0467143208607601</v>
      </c>
      <c r="I32" s="88" t="n">
        <f aca="false">I31/H31-1</f>
        <v>-0.00727731321210889</v>
      </c>
      <c r="J32" s="88" t="n">
        <f aca="false">J31/I31-1</f>
        <v>0.0249999999999999</v>
      </c>
      <c r="K32" s="88" t="n">
        <f aca="false">K31/J31-1</f>
        <v>0.0249999999999999</v>
      </c>
      <c r="L32" s="88" t="n">
        <f aca="false">L31/K31-1</f>
        <v>0.0249999999999999</v>
      </c>
    </row>
    <row r="33" customFormat="false" ht="15" hidden="false" customHeight="false" outlineLevel="0" collapsed="false">
      <c r="B33" s="19" t="s">
        <v>231</v>
      </c>
      <c r="F33" s="85" t="n">
        <f aca="false">F31*F27</f>
        <v>6900.655</v>
      </c>
      <c r="G33" s="85" t="n">
        <f aca="false">G31*G27</f>
        <v>7356.864</v>
      </c>
      <c r="H33" s="85" t="n">
        <f aca="false">H31*H27</f>
        <v>7534.51933024861</v>
      </c>
      <c r="I33" s="85" t="n">
        <f aca="false">I31*I27</f>
        <v>7728.17458042279</v>
      </c>
      <c r="J33" s="85" t="n">
        <f aca="false">J31*J27</f>
        <v>8167.23558394663</v>
      </c>
      <c r="K33" s="85" t="n">
        <f aca="false">K31*K27</f>
        <v>8696.36559153395</v>
      </c>
      <c r="L33" s="85" t="n">
        <f aca="false">L31*L27</f>
        <v>9308.08224361835</v>
      </c>
    </row>
    <row r="35" customFormat="false" ht="15" hidden="false" customHeight="false" outlineLevel="0" collapsed="false">
      <c r="B35" s="4" t="s">
        <v>274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15" hidden="false" customHeight="false" outlineLevel="0" collapsed="false">
      <c r="B36" s="9" t="s">
        <v>275</v>
      </c>
      <c r="F36" s="35" t="n">
        <f aca="false">'Quarterly (A)'!L5</f>
        <v>6415.545</v>
      </c>
      <c r="G36" s="35" t="n">
        <f aca="false">'Quarterly (A)'!M5</f>
        <v>6687.667</v>
      </c>
      <c r="H36" s="35" t="n">
        <f aca="false">'Net Yield Build'!T104</f>
        <v>6590.2718572089</v>
      </c>
      <c r="I36" s="35" t="n">
        <f aca="false">'Net Yield Build'!U104</f>
        <v>6753.97988449989</v>
      </c>
      <c r="J36" s="37" t="n">
        <f aca="false">I36*J33/I33</f>
        <v>7137.69393689467</v>
      </c>
      <c r="K36" s="37" t="n">
        <f aca="false">J36*K33/J33</f>
        <v>7600.12311604172</v>
      </c>
      <c r="L36" s="37" t="n">
        <f aca="false">K36*L33/K33</f>
        <v>8134.72827023398</v>
      </c>
    </row>
    <row r="37" customFormat="false" ht="15" hidden="false" customHeight="false" outlineLevel="0" collapsed="false">
      <c r="B37" s="9" t="s">
        <v>276</v>
      </c>
      <c r="F37" s="35" t="n">
        <f aca="false">'Quarterly (A)'!L6</f>
        <v>3064.106</v>
      </c>
      <c r="G37" s="35" t="n">
        <f aca="false">'Quarterly (A)'!M6</f>
        <v>3139.925</v>
      </c>
      <c r="H37" s="35" t="n">
        <f aca="false">'Net Yield Build'!T105</f>
        <v>3415.82654897539</v>
      </c>
      <c r="I37" s="35" t="n">
        <f aca="false">'Net Yield Build'!U105</f>
        <v>3585.90058972903</v>
      </c>
      <c r="J37" s="37" t="n">
        <f aca="false">I37*J33/I33</f>
        <v>3789.62646251813</v>
      </c>
      <c r="K37" s="37" t="n">
        <f aca="false">J37*K33/J33</f>
        <v>4035.14467467876</v>
      </c>
      <c r="L37" s="37" t="n">
        <f aca="false">K37*L33/K33</f>
        <v>4318.98338466511</v>
      </c>
    </row>
    <row r="38" customFormat="false" ht="15" hidden="false" customHeight="false" outlineLevel="0" collapsed="false">
      <c r="B38" s="19" t="s">
        <v>277</v>
      </c>
      <c r="F38" s="85" t="n">
        <f aca="false">F36+F37</f>
        <v>9479.651</v>
      </c>
      <c r="G38" s="85" t="n">
        <f aca="false">G36+G37</f>
        <v>9827.592</v>
      </c>
      <c r="H38" s="85" t="n">
        <f aca="false">H36+H37</f>
        <v>10006.0984061843</v>
      </c>
      <c r="I38" s="85" t="n">
        <f aca="false">I36+I37</f>
        <v>10339.8804742289</v>
      </c>
      <c r="J38" s="85" t="n">
        <f aca="false">J36+J37</f>
        <v>10927.3203994128</v>
      </c>
      <c r="K38" s="85" t="n">
        <f aca="false">K36+K37</f>
        <v>11635.2677907205</v>
      </c>
      <c r="L38" s="85" t="n">
        <f aca="false">L36+L37</f>
        <v>12453.7116548991</v>
      </c>
    </row>
    <row r="39" customFormat="false" ht="15" hidden="false" customHeight="false" outlineLevel="0" collapsed="false">
      <c r="B39" s="9" t="s">
        <v>278</v>
      </c>
      <c r="G39" s="11" t="n">
        <f aca="false">G38/F38-1</f>
        <v>0.0367039883641287</v>
      </c>
      <c r="H39" s="11" t="n">
        <f aca="false">H38/G38-1</f>
        <v>0.0181637990450041</v>
      </c>
      <c r="I39" s="11" t="n">
        <f aca="false">I38/H38-1</f>
        <v>0.0333578638241587</v>
      </c>
      <c r="J39" s="11" t="n">
        <f aca="false">J38/I38-1</f>
        <v>0.0568130286078266</v>
      </c>
      <c r="K39" s="11" t="n">
        <f aca="false">K38/J38-1</f>
        <v>0.0647869162274892</v>
      </c>
      <c r="L39" s="11" t="n">
        <f aca="false">L38/K38-1</f>
        <v>0.0703416439483542</v>
      </c>
    </row>
    <row r="40" customFormat="false" ht="15" hidden="false" customHeight="false" outlineLevel="0" collapsed="false">
      <c r="B40" s="9" t="s">
        <v>279</v>
      </c>
      <c r="F40" s="35" t="n">
        <f aca="false">'Quarterly (A)'!L8</f>
        <v>1917.443</v>
      </c>
      <c r="G40" s="35" t="n">
        <f aca="false">'Quarterly (A)'!M8</f>
        <v>1782.004</v>
      </c>
      <c r="H40" s="35" t="n">
        <f aca="false">'Net Yield Build'!T107</f>
        <v>1744.15699581351</v>
      </c>
      <c r="I40" s="35" t="n">
        <f aca="false">'Net Yield Build'!U107</f>
        <v>1847.3596622373</v>
      </c>
      <c r="J40" s="37" t="n">
        <f aca="false">I40*J33/I33</f>
        <v>1952.31375957694</v>
      </c>
      <c r="K40" s="37" t="n">
        <f aca="false">J40*K33/J33</f>
        <v>2078.79814756842</v>
      </c>
      <c r="L40" s="37" t="n">
        <f aca="false">K40*L33/K33</f>
        <v>2225.02422670518</v>
      </c>
    </row>
    <row r="41" customFormat="false" ht="15" hidden="false" customHeight="false" outlineLevel="0" collapsed="false">
      <c r="B41" s="9" t="s">
        <v>280</v>
      </c>
      <c r="F41" s="35" t="n">
        <f aca="false">'Quarterly (A)'!L9</f>
        <v>661.553</v>
      </c>
      <c r="G41" s="35" t="n">
        <f aca="false">'Quarterly (A)'!M9</f>
        <v>688.724</v>
      </c>
      <c r="H41" s="35" t="n">
        <f aca="false">'Net Yield Build'!T108</f>
        <v>727.422080122176</v>
      </c>
      <c r="I41" s="35" t="n">
        <f aca="false">'Net Yield Build'!U108</f>
        <v>764.346231568821</v>
      </c>
      <c r="J41" s="37" t="n">
        <f aca="false">I41*J33/I33</f>
        <v>807.771055889225</v>
      </c>
      <c r="K41" s="37" t="n">
        <f aca="false">J41*K33/J33</f>
        <v>860.10405161811</v>
      </c>
      <c r="L41" s="37" t="n">
        <f aca="false">K41*L33/K33</f>
        <v>920.605184575568</v>
      </c>
    </row>
    <row r="42" customFormat="false" ht="15" hidden="false" customHeight="false" outlineLevel="0" collapsed="false">
      <c r="B42" s="9" t="s">
        <v>281</v>
      </c>
      <c r="F42" s="37" t="n">
        <f aca="false">F38-F40-F41-F33</f>
        <v>0</v>
      </c>
      <c r="G42" s="37" t="n">
        <f aca="false">G38-G40-G41-G33</f>
        <v>0</v>
      </c>
      <c r="H42" s="37" t="n">
        <f aca="false">H38-H40-H41-H33</f>
        <v>0</v>
      </c>
      <c r="I42" s="37" t="n">
        <f aca="false">I38-I40-I41-I33</f>
        <v>0</v>
      </c>
      <c r="J42" s="37" t="n">
        <f aca="false">J38-J40-J41-J33</f>
        <v>0</v>
      </c>
      <c r="K42" s="37" t="n">
        <f aca="false">K38-K40-K41-K33</f>
        <v>0</v>
      </c>
      <c r="L42" s="37" t="n">
        <f aca="false">L38-L40-L41-L33</f>
        <v>0</v>
      </c>
    </row>
    <row r="44" customFormat="false" ht="15" hidden="false" customHeight="false" outlineLevel="0" collapsed="false">
      <c r="B44" s="4" t="s">
        <v>282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15" hidden="false" customHeight="false" outlineLevel="0" collapsed="false">
      <c r="B45" s="9" t="s">
        <v>283</v>
      </c>
      <c r="F45" s="26" t="n">
        <f aca="false">'Quarterly (A)'!L21/'Quarterly (A)'!L29</f>
        <v>160.022904279731</v>
      </c>
      <c r="G45" s="26" t="n">
        <f aca="false">'Quarterly (A)'!M21/'Quarterly (A)'!M29</f>
        <v>161.693364874599</v>
      </c>
      <c r="H45" s="38" t="n">
        <f aca="false">G45*(1+H14)</f>
        <v>161.693364874599</v>
      </c>
      <c r="I45" s="38" t="n">
        <f aca="false">H45*(1+I14)</f>
        <v>163.310298523345</v>
      </c>
      <c r="J45" s="38" t="n">
        <f aca="false">I45*(1+J14)</f>
        <v>166.576504493812</v>
      </c>
      <c r="K45" s="38" t="n">
        <f aca="false">J45*(1+K14)</f>
        <v>169.908034583688</v>
      </c>
      <c r="L45" s="38" t="n">
        <f aca="false">K45*(1+L14)</f>
        <v>173.306195275362</v>
      </c>
    </row>
    <row r="46" customFormat="false" ht="15" hidden="false" customHeight="false" outlineLevel="0" collapsed="false">
      <c r="B46" s="9" t="s">
        <v>284</v>
      </c>
      <c r="F46" s="37" t="n">
        <f aca="false">F45*F27</f>
        <v>3751.801</v>
      </c>
      <c r="G46" s="37" t="n">
        <f aca="false">G45*G27</f>
        <v>3950.751</v>
      </c>
      <c r="H46" s="37" t="n">
        <f aca="false">H45*H27</f>
        <v>4244.43037245402</v>
      </c>
      <c r="I46" s="37" t="n">
        <f aca="false">I45*I27</f>
        <v>4429.29099340894</v>
      </c>
      <c r="J46" s="37" t="n">
        <f aca="false">J45*J27</f>
        <v>4658.09861260144</v>
      </c>
      <c r="K46" s="37" t="n">
        <f aca="false">K45*K27</f>
        <v>4935.68790862374</v>
      </c>
      <c r="L46" s="37" t="n">
        <f aca="false">L45*L27</f>
        <v>5257.10220130244</v>
      </c>
    </row>
    <row r="47" customFormat="false" ht="15" hidden="false" customHeight="false" outlineLevel="0" collapsed="false">
      <c r="B47" s="9" t="s">
        <v>285</v>
      </c>
      <c r="H47" s="95" t="n">
        <f aca="false">Consensus!C39</f>
        <v>1010</v>
      </c>
      <c r="I47" s="96" t="n">
        <f aca="false">H47*(1+I28)*(1-0.01)</f>
        <v>1033.11815689877</v>
      </c>
      <c r="J47" s="96" t="n">
        <f aca="false">I47*(1+J28)*(1-0.01)</f>
        <v>1054.53131806722</v>
      </c>
      <c r="K47" s="96" t="n">
        <f aca="false">J47*(1+K28)*(1-0.01)</f>
        <v>1084.50989144176</v>
      </c>
      <c r="L47" s="96" t="n">
        <f aca="false">K47*(1+L28)*(1-0.01)</f>
        <v>1121.15916008116</v>
      </c>
    </row>
    <row r="48" customFormat="false" ht="15" hidden="false" customHeight="false" outlineLevel="0" collapsed="false">
      <c r="B48" s="9" t="s">
        <v>101</v>
      </c>
      <c r="H48" s="96" t="n">
        <f aca="false">H19</f>
        <v>810</v>
      </c>
      <c r="I48" s="96" t="n">
        <f aca="false">I19</f>
        <v>800</v>
      </c>
      <c r="J48" s="96" t="n">
        <f aca="false">J19</f>
        <v>800</v>
      </c>
      <c r="K48" s="96" t="n">
        <f aca="false">K19</f>
        <v>800</v>
      </c>
      <c r="L48" s="96" t="n">
        <f aca="false">L19</f>
        <v>800</v>
      </c>
    </row>
    <row r="49" customFormat="false" ht="15" hidden="false" customHeight="false" outlineLevel="0" collapsed="false">
      <c r="B49" s="9" t="s">
        <v>286</v>
      </c>
      <c r="F49" s="35" t="n">
        <f aca="false">'Quarterly (A)'!L11</f>
        <v>698.05</v>
      </c>
      <c r="G49" s="35" t="n">
        <f aca="false">'Quarterly (A)'!M11</f>
        <v>675.887</v>
      </c>
      <c r="H49" s="37" t="n">
        <f aca="false">H47*H48/1000</f>
        <v>818.1</v>
      </c>
      <c r="I49" s="37" t="n">
        <f aca="false">I47*I48/1000</f>
        <v>826.494525519016</v>
      </c>
      <c r="J49" s="37" t="n">
        <f aca="false">J47*J48/1000</f>
        <v>843.62505445378</v>
      </c>
      <c r="K49" s="37" t="n">
        <f aca="false">K47*K48/1000</f>
        <v>867.607913153411</v>
      </c>
      <c r="L49" s="37" t="n">
        <f aca="false">L47*L48/1000</f>
        <v>896.927328064928</v>
      </c>
    </row>
    <row r="51" customFormat="false" ht="15" hidden="false" customHeight="false" outlineLevel="0" collapsed="false">
      <c r="B51" s="4" t="s">
        <v>287</v>
      </c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15" hidden="false" customHeight="false" outlineLevel="0" collapsed="false">
      <c r="B52" s="19" t="s">
        <v>288</v>
      </c>
      <c r="F52" s="85" t="n">
        <f aca="false">F33-F46-F49</f>
        <v>2450.804</v>
      </c>
      <c r="G52" s="85" t="n">
        <f aca="false">G33-G46-G49</f>
        <v>2730.226</v>
      </c>
      <c r="H52" s="85" t="n">
        <f aca="false">H33-H46-H49</f>
        <v>2471.98895779459</v>
      </c>
      <c r="I52" s="85" t="n">
        <f aca="false">I33-I46-I49</f>
        <v>2472.38906149484</v>
      </c>
      <c r="J52" s="85" t="n">
        <f aca="false">J33-J46-J49</f>
        <v>2665.51191689142</v>
      </c>
      <c r="K52" s="85" t="n">
        <f aca="false">K33-K46-K49</f>
        <v>2893.0697697568</v>
      </c>
      <c r="L52" s="85" t="n">
        <f aca="false">L33-L46-L49</f>
        <v>3154.05271425099</v>
      </c>
    </row>
    <row r="53" customFormat="false" ht="15" hidden="false" customHeight="false" outlineLevel="0" collapsed="false">
      <c r="B53" s="9" t="s">
        <v>289</v>
      </c>
      <c r="F53" s="11" t="n">
        <f aca="false">F52/F38</f>
        <v>0.258533146420686</v>
      </c>
      <c r="G53" s="11" t="n">
        <f aca="false">G52/G38</f>
        <v>0.277812306412395</v>
      </c>
      <c r="H53" s="11" t="n">
        <f aca="false">H52/H38</f>
        <v>0.247048235730599</v>
      </c>
      <c r="I53" s="11" t="n">
        <f aca="false">I52/I38</f>
        <v>0.239111957595352</v>
      </c>
      <c r="J53" s="11" t="n">
        <f aca="false">J52/J38</f>
        <v>0.243930974791831</v>
      </c>
      <c r="K53" s="11" t="n">
        <f aca="false">K52/K38</f>
        <v>0.248646599441752</v>
      </c>
      <c r="L53" s="11" t="n">
        <f aca="false">L52/L38</f>
        <v>0.253262063684462</v>
      </c>
    </row>
    <row r="54" customFormat="false" ht="15" hidden="false" customHeight="false" outlineLevel="0" collapsed="false">
      <c r="B54" s="9" t="s">
        <v>290</v>
      </c>
      <c r="F54" s="35" t="n">
        <f aca="false">'Quarterly (A)'!L16</f>
        <v>890.242</v>
      </c>
      <c r="G54" s="35" t="n">
        <f aca="false">'Quarterly (A)'!M16</f>
        <v>1078.755</v>
      </c>
      <c r="H54" s="97" t="n">
        <v>1085</v>
      </c>
      <c r="I54" s="97" t="n">
        <v>1150</v>
      </c>
      <c r="J54" s="97" t="n">
        <v>1230</v>
      </c>
      <c r="K54" s="97" t="n">
        <v>1300</v>
      </c>
      <c r="L54" s="97" t="n">
        <v>1370</v>
      </c>
    </row>
    <row r="55" customFormat="false" ht="15" hidden="false" customHeight="false" outlineLevel="0" collapsed="false">
      <c r="B55" s="19" t="s">
        <v>291</v>
      </c>
      <c r="F55" s="85" t="n">
        <f aca="false">F52-F54</f>
        <v>1560.562</v>
      </c>
      <c r="G55" s="85" t="n">
        <f aca="false">G52-G54</f>
        <v>1651.471</v>
      </c>
      <c r="H55" s="85" t="n">
        <f aca="false">H52-H54</f>
        <v>1386.98895779459</v>
      </c>
      <c r="I55" s="85" t="n">
        <f aca="false">I52-I54</f>
        <v>1322.38906149484</v>
      </c>
      <c r="J55" s="85" t="n">
        <f aca="false">J52-J54</f>
        <v>1435.51191689142</v>
      </c>
      <c r="K55" s="85" t="n">
        <f aca="false">K52-K54</f>
        <v>1593.0697697568</v>
      </c>
      <c r="L55" s="85" t="n">
        <f aca="false">L52-L54</f>
        <v>1784.05271425099</v>
      </c>
    </row>
    <row r="56" customFormat="false" ht="15" hidden="false" customHeight="false" outlineLevel="0" collapsed="false">
      <c r="B56" s="9" t="s">
        <v>292</v>
      </c>
      <c r="F56" s="37" t="n">
        <f aca="false">F55-F61</f>
        <v>648.874</v>
      </c>
      <c r="G56" s="37" t="n">
        <f aca="false">G55-G61</f>
        <v>606.719000000001</v>
      </c>
      <c r="H56" s="35" t="n">
        <f aca="false">Consensus!C37</f>
        <v>705</v>
      </c>
      <c r="I56" s="35" t="n">
        <f aca="false">Consensus!C43</f>
        <v>870</v>
      </c>
      <c r="J56" s="37" t="n">
        <f aca="false">I88*J57</f>
        <v>968.955168054188</v>
      </c>
      <c r="K56" s="37" t="n">
        <f aca="false">J88*K57</f>
        <v>999.445497725033</v>
      </c>
      <c r="L56" s="37" t="n">
        <f aca="false">K88*L57</f>
        <v>1001.9647747167</v>
      </c>
    </row>
    <row r="57" customFormat="false" ht="15" hidden="false" customHeight="false" outlineLevel="0" collapsed="false">
      <c r="B57" s="9" t="s">
        <v>293</v>
      </c>
      <c r="I57" s="84" t="n">
        <f aca="false">I56/H88</f>
        <v>0.0547747053300247</v>
      </c>
      <c r="J57" s="84" t="n">
        <f aca="false">I57</f>
        <v>0.0547747053300247</v>
      </c>
      <c r="K57" s="84" t="n">
        <f aca="false">J57</f>
        <v>0.0547747053300247</v>
      </c>
      <c r="L57" s="84" t="n">
        <f aca="false">K57</f>
        <v>0.0547747053300247</v>
      </c>
    </row>
    <row r="58" customFormat="false" ht="15" hidden="false" customHeight="false" outlineLevel="0" collapsed="false">
      <c r="B58" s="9" t="s">
        <v>294</v>
      </c>
      <c r="H58" s="37" t="n">
        <f aca="false">H55-H56</f>
        <v>681.988957794591</v>
      </c>
      <c r="I58" s="37" t="n">
        <f aca="false">I55-I56</f>
        <v>452.389061494836</v>
      </c>
      <c r="J58" s="37" t="n">
        <f aca="false">J55-J56</f>
        <v>466.55674883723</v>
      </c>
      <c r="K58" s="37" t="n">
        <f aca="false">K55-K56</f>
        <v>593.624272031764</v>
      </c>
      <c r="L58" s="37" t="n">
        <f aca="false">L55-L56</f>
        <v>782.087939534281</v>
      </c>
    </row>
    <row r="59" customFormat="false" ht="15" hidden="false" customHeight="false" outlineLevel="0" collapsed="false">
      <c r="B59" s="9" t="s">
        <v>295</v>
      </c>
      <c r="H59" s="37" t="n">
        <f aca="false">MAX(0,H58*H60)</f>
        <v>13.6397791558918</v>
      </c>
      <c r="I59" s="37" t="n">
        <f aca="false">MAX(0,I58*I60)</f>
        <v>9.04778122989673</v>
      </c>
      <c r="J59" s="37" t="n">
        <f aca="false">MAX(0,J58*J60)</f>
        <v>9.3311349767446</v>
      </c>
      <c r="K59" s="37" t="n">
        <f aca="false">MAX(0,K58*K60)</f>
        <v>11.8724854406353</v>
      </c>
      <c r="L59" s="37" t="n">
        <f aca="false">MAX(0,L58*L60)</f>
        <v>15.6417587906856</v>
      </c>
    </row>
    <row r="60" customFormat="false" ht="15" hidden="false" customHeight="false" outlineLevel="0" collapsed="false">
      <c r="B60" s="9" t="s">
        <v>142</v>
      </c>
      <c r="H60" s="87" t="n">
        <v>0.02</v>
      </c>
      <c r="I60" s="87" t="n">
        <v>0.02</v>
      </c>
      <c r="J60" s="87" t="n">
        <v>0.02</v>
      </c>
      <c r="K60" s="87" t="n">
        <v>0.02</v>
      </c>
      <c r="L60" s="87" t="n">
        <v>0.02</v>
      </c>
    </row>
    <row r="61" customFormat="false" ht="15" hidden="false" customHeight="false" outlineLevel="0" collapsed="false">
      <c r="B61" s="19" t="s">
        <v>296</v>
      </c>
      <c r="F61" s="98" t="n">
        <f aca="false">'Quarterly (A)'!L25</f>
        <v>911.688</v>
      </c>
      <c r="G61" s="98" t="n">
        <f aca="false">'Quarterly (A)'!M25</f>
        <v>1044.752</v>
      </c>
      <c r="H61" s="85" t="n">
        <f aca="false">H58-H59</f>
        <v>668.349178638699</v>
      </c>
      <c r="I61" s="85" t="n">
        <f aca="false">I58-I59</f>
        <v>443.34128026494</v>
      </c>
      <c r="J61" s="85" t="n">
        <f aca="false">J58-J59</f>
        <v>457.225613860486</v>
      </c>
      <c r="K61" s="85" t="n">
        <f aca="false">K58-K59</f>
        <v>581.751786591129</v>
      </c>
      <c r="L61" s="85" t="n">
        <f aca="false">L58-L59</f>
        <v>766.446180743596</v>
      </c>
    </row>
    <row r="62" customFormat="false" ht="15" hidden="false" customHeight="false" outlineLevel="0" collapsed="false">
      <c r="B62" s="9" t="s">
        <v>162</v>
      </c>
      <c r="F62" s="35" t="n">
        <f aca="false">'Quarterly (A)'!L26</f>
        <v>515.0305</v>
      </c>
      <c r="G62" s="35" t="n">
        <f aca="false">'Quarterly (A)'!M26</f>
        <v>495.3854</v>
      </c>
      <c r="H62" s="35" t="n">
        <f aca="false">Consensus!C38</f>
        <v>464</v>
      </c>
      <c r="I62" s="97" t="n">
        <v>466</v>
      </c>
      <c r="J62" s="97" t="n">
        <v>468</v>
      </c>
      <c r="K62" s="97" t="n">
        <v>470</v>
      </c>
      <c r="L62" s="97" t="n">
        <v>472</v>
      </c>
    </row>
    <row r="63" customFormat="false" ht="15" hidden="false" customHeight="false" outlineLevel="0" collapsed="false">
      <c r="B63" s="19" t="s">
        <v>297</v>
      </c>
      <c r="F63" s="93" t="n">
        <f aca="false">'Quarterly (A)'!L27</f>
        <v>1.77</v>
      </c>
      <c r="G63" s="93" t="n">
        <f aca="false">'Quarterly (A)'!M27</f>
        <v>2.11</v>
      </c>
      <c r="H63" s="94" t="n">
        <f aca="false">H61/H62</f>
        <v>1.4404077125834</v>
      </c>
      <c r="I63" s="94" t="n">
        <f aca="false">I61/I62</f>
        <v>0.951376137907596</v>
      </c>
      <c r="J63" s="94" t="n">
        <f aca="false">J61/J62</f>
        <v>0.9769778073942</v>
      </c>
      <c r="K63" s="94" t="n">
        <f aca="false">K61/K62</f>
        <v>1.23776975870453</v>
      </c>
      <c r="L63" s="94" t="n">
        <f aca="false">L61/L62</f>
        <v>1.62382665411779</v>
      </c>
    </row>
    <row r="64" customFormat="false" ht="15" hidden="false" customHeight="false" outlineLevel="0" collapsed="false">
      <c r="B64" s="9" t="s">
        <v>298</v>
      </c>
      <c r="G64" s="11" t="n">
        <f aca="false">G63/F63-1</f>
        <v>0.192090395480226</v>
      </c>
      <c r="H64" s="11" t="n">
        <f aca="false">H63/G63-1</f>
        <v>-0.317342316311183</v>
      </c>
      <c r="I64" s="11" t="n">
        <f aca="false">I63/H63-1</f>
        <v>-0.339509133701262</v>
      </c>
      <c r="J64" s="11" t="n">
        <f aca="false">J63/I63-1</f>
        <v>0.0269101446488986</v>
      </c>
      <c r="K64" s="11" t="n">
        <f aca="false">K63/J63-1</f>
        <v>0.266937436384471</v>
      </c>
      <c r="L64" s="11" t="n">
        <f aca="false">L63/K63-1</f>
        <v>0.311897178532873</v>
      </c>
    </row>
    <row r="66" customFormat="false" ht="15" hidden="false" customHeight="false" outlineLevel="0" collapsed="false">
      <c r="B66" s="4" t="s">
        <v>299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5" hidden="false" customHeight="false" outlineLevel="0" collapsed="false">
      <c r="B67" s="9" t="s">
        <v>300</v>
      </c>
      <c r="H67" s="95" t="n">
        <f aca="false">Consensus!C6</f>
        <v>10030</v>
      </c>
      <c r="I67" s="95" t="n">
        <f aca="false">Consensus!D6</f>
        <v>10570</v>
      </c>
    </row>
    <row r="68" customFormat="false" ht="15" hidden="false" customHeight="false" outlineLevel="0" collapsed="false">
      <c r="B68" s="9" t="s">
        <v>301</v>
      </c>
      <c r="H68" s="96" t="n">
        <f aca="false">H38-H67</f>
        <v>-23.9015938157099</v>
      </c>
      <c r="I68" s="96" t="n">
        <f aca="false">I38-I67</f>
        <v>-230.119525771082</v>
      </c>
    </row>
    <row r="69" customFormat="false" ht="15" hidden="false" customHeight="false" outlineLevel="0" collapsed="false">
      <c r="B69" s="9" t="s">
        <v>302</v>
      </c>
      <c r="H69" s="11" t="n">
        <f aca="false">H38/H67-1</f>
        <v>-0.00238301035051947</v>
      </c>
      <c r="I69" s="11" t="n">
        <f aca="false">I38/I67-1</f>
        <v>-0.021771005276356</v>
      </c>
    </row>
    <row r="70" customFormat="false" ht="15" hidden="false" customHeight="false" outlineLevel="0" collapsed="false">
      <c r="B70" s="9" t="s">
        <v>303</v>
      </c>
      <c r="H70" s="26" t="n">
        <f aca="false">Consensus!C7</f>
        <v>1.54</v>
      </c>
      <c r="I70" s="26" t="n">
        <f aca="false">Consensus!D7</f>
        <v>1.67</v>
      </c>
      <c r="J70" s="26" t="n">
        <f aca="false">Consensus!E7</f>
        <v>1.75</v>
      </c>
    </row>
    <row r="71" customFormat="false" ht="15" hidden="false" customHeight="false" outlineLevel="0" collapsed="false">
      <c r="B71" s="19" t="s">
        <v>304</v>
      </c>
      <c r="H71" s="94" t="n">
        <f aca="false">H63-H70</f>
        <v>-0.0995922874165967</v>
      </c>
      <c r="I71" s="94" t="n">
        <f aca="false">I63-I70</f>
        <v>-0.718623862092404</v>
      </c>
      <c r="J71" s="94" t="n">
        <f aca="false">J63-J70</f>
        <v>-0.7730221926058</v>
      </c>
    </row>
    <row r="72" customFormat="false" ht="15" hidden="false" customHeight="false" outlineLevel="0" collapsed="false">
      <c r="B72" s="19" t="s">
        <v>305</v>
      </c>
      <c r="H72" s="88" t="n">
        <f aca="false">H63/H70-1</f>
        <v>-0.0646703165042836</v>
      </c>
      <c r="I72" s="88" t="n">
        <f aca="false">I63/I70-1</f>
        <v>-0.430313689875691</v>
      </c>
      <c r="J72" s="88" t="n">
        <f aca="false">J63/J70-1</f>
        <v>-0.441726967203314</v>
      </c>
    </row>
    <row r="73" customFormat="false" ht="15" hidden="false" customHeight="false" outlineLevel="0" collapsed="false">
      <c r="B73" s="9" t="s">
        <v>306</v>
      </c>
      <c r="H73" s="26" t="n">
        <f aca="false">Consensus!C8</f>
        <v>1.36</v>
      </c>
      <c r="I73" s="26" t="n">
        <f aca="false">Consensus!D8</f>
        <v>1.46</v>
      </c>
      <c r="J73" s="26" t="n">
        <f aca="false">Consensus!E8</f>
        <v>1.75</v>
      </c>
    </row>
    <row r="74" customFormat="false" ht="15" hidden="false" customHeight="false" outlineLevel="0" collapsed="false">
      <c r="B74" s="19" t="s">
        <v>307</v>
      </c>
      <c r="H74" s="88" t="n">
        <f aca="false">H63/H73-1</f>
        <v>0.0591233180760318</v>
      </c>
      <c r="I74" s="88" t="n">
        <f aca="false">I63/I73-1</f>
        <v>-0.348372508282469</v>
      </c>
      <c r="J74" s="88" t="n">
        <f aca="false">J63/J73-1</f>
        <v>-0.441726967203314</v>
      </c>
    </row>
    <row r="75" customFormat="false" ht="15" hidden="false" customHeight="false" outlineLevel="0" collapsed="false">
      <c r="B75" s="9" t="s">
        <v>308</v>
      </c>
      <c r="I75" s="95" t="n">
        <f aca="false">Consensus!C57</f>
        <v>2693.22</v>
      </c>
    </row>
    <row r="76" customFormat="false" ht="15" hidden="false" customHeight="false" outlineLevel="0" collapsed="false">
      <c r="B76" s="19" t="s">
        <v>309</v>
      </c>
      <c r="I76" s="88" t="n">
        <f aca="false">I52/I75-1</f>
        <v>-0.0819951353789009</v>
      </c>
    </row>
    <row r="78" customFormat="false" ht="15" hidden="false" customHeight="false" outlineLevel="0" collapsed="false">
      <c r="B78" s="4" t="s">
        <v>310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5" hidden="false" customHeight="false" outlineLevel="0" collapsed="false">
      <c r="B79" s="9" t="s">
        <v>288</v>
      </c>
      <c r="H79" s="37" t="n">
        <f aca="false">H52</f>
        <v>2471.98895779459</v>
      </c>
      <c r="I79" s="37" t="n">
        <f aca="false">I52</f>
        <v>2472.38906149484</v>
      </c>
      <c r="J79" s="37" t="n">
        <f aca="false">J52</f>
        <v>2665.51191689142</v>
      </c>
      <c r="K79" s="37" t="n">
        <f aca="false">K52</f>
        <v>2893.0697697568</v>
      </c>
      <c r="L79" s="37" t="n">
        <f aca="false">L52</f>
        <v>3154.05271425099</v>
      </c>
    </row>
    <row r="80" customFormat="false" ht="15" hidden="false" customHeight="false" outlineLevel="0" collapsed="false">
      <c r="B80" s="9" t="s">
        <v>311</v>
      </c>
      <c r="H80" s="37" t="n">
        <f aca="false">H56</f>
        <v>705</v>
      </c>
      <c r="I80" s="37" t="n">
        <f aca="false">I56</f>
        <v>870</v>
      </c>
      <c r="J80" s="37" t="n">
        <f aca="false">J56</f>
        <v>968.955168054188</v>
      </c>
      <c r="K80" s="37" t="n">
        <f aca="false">K56</f>
        <v>999.445497725033</v>
      </c>
      <c r="L80" s="37" t="n">
        <f aca="false">L56</f>
        <v>1001.9647747167</v>
      </c>
    </row>
    <row r="81" customFormat="false" ht="15" hidden="false" customHeight="false" outlineLevel="0" collapsed="false">
      <c r="B81" s="9" t="s">
        <v>312</v>
      </c>
      <c r="H81" s="37" t="n">
        <f aca="false">H59</f>
        <v>13.6397791558918</v>
      </c>
      <c r="I81" s="37" t="n">
        <f aca="false">I59</f>
        <v>9.04778122989673</v>
      </c>
      <c r="J81" s="37" t="n">
        <f aca="false">J59</f>
        <v>9.3311349767446</v>
      </c>
      <c r="K81" s="37" t="n">
        <f aca="false">K59</f>
        <v>11.8724854406353</v>
      </c>
      <c r="L81" s="37" t="n">
        <f aca="false">L59</f>
        <v>15.6417587906856</v>
      </c>
    </row>
    <row r="82" customFormat="false" ht="15" hidden="false" customHeight="false" outlineLevel="0" collapsed="false">
      <c r="B82" s="9" t="s">
        <v>313</v>
      </c>
      <c r="H82" s="97" t="n">
        <v>2900</v>
      </c>
      <c r="I82" s="97" t="n">
        <v>2900</v>
      </c>
      <c r="J82" s="97" t="n">
        <v>1800</v>
      </c>
      <c r="K82" s="97" t="n">
        <v>1500</v>
      </c>
      <c r="L82" s="97" t="n">
        <v>1800</v>
      </c>
    </row>
    <row r="83" customFormat="false" ht="15" hidden="false" customHeight="false" outlineLevel="0" collapsed="false">
      <c r="B83" s="9" t="s">
        <v>314</v>
      </c>
      <c r="H83" s="97" t="n">
        <v>540</v>
      </c>
      <c r="I83" s="97" t="n">
        <v>600</v>
      </c>
      <c r="J83" s="97" t="n">
        <v>620</v>
      </c>
      <c r="K83" s="97" t="n">
        <v>640</v>
      </c>
      <c r="L83" s="97" t="n">
        <v>660</v>
      </c>
    </row>
    <row r="84" customFormat="false" ht="15" hidden="false" customHeight="false" outlineLevel="0" collapsed="false">
      <c r="B84" s="9" t="s">
        <v>315</v>
      </c>
      <c r="G84" s="35" t="n">
        <f aca="false">'Quarterly (A)'!M39</f>
        <v>3200.593</v>
      </c>
      <c r="H84" s="37" t="n">
        <f aca="false">H24</f>
        <v>3000</v>
      </c>
      <c r="I84" s="37" t="n">
        <f aca="false">H84*(1+I39)</f>
        <v>3100.07359147248</v>
      </c>
      <c r="J84" s="37" t="n">
        <f aca="false">I84*(1+J39)</f>
        <v>3276.19816111117</v>
      </c>
      <c r="K84" s="37" t="n">
        <f aca="false">J84*(1+K39)</f>
        <v>3488.45293691973</v>
      </c>
      <c r="L84" s="37" t="n">
        <f aca="false">K84*(1+L39)</f>
        <v>3733.83645133913</v>
      </c>
    </row>
    <row r="85" customFormat="false" ht="15" hidden="false" customHeight="false" outlineLevel="0" collapsed="false">
      <c r="B85" s="9" t="s">
        <v>316</v>
      </c>
      <c r="H85" s="37" t="n">
        <f aca="false">H84-G84</f>
        <v>-200.593</v>
      </c>
      <c r="I85" s="37" t="n">
        <f aca="false">I84-H84</f>
        <v>100.073591472476</v>
      </c>
      <c r="J85" s="37" t="n">
        <f aca="false">J84-I84</f>
        <v>176.124569638693</v>
      </c>
      <c r="K85" s="37" t="n">
        <f aca="false">K84-J84</f>
        <v>212.254775808563</v>
      </c>
      <c r="L85" s="37" t="n">
        <f aca="false">L84-K84</f>
        <v>245.383514419398</v>
      </c>
    </row>
    <row r="86" customFormat="false" ht="15" hidden="false" customHeight="false" outlineLevel="0" collapsed="false">
      <c r="B86" s="9" t="s">
        <v>317</v>
      </c>
      <c r="H86" s="97" t="n">
        <v>400</v>
      </c>
      <c r="I86" s="97" t="n">
        <v>0</v>
      </c>
      <c r="J86" s="97" t="n">
        <v>0</v>
      </c>
      <c r="K86" s="97" t="n">
        <v>0</v>
      </c>
      <c r="L86" s="97" t="n">
        <v>0</v>
      </c>
    </row>
    <row r="87" customFormat="false" ht="15" hidden="false" customHeight="false" outlineLevel="0" collapsed="false">
      <c r="B87" s="19" t="s">
        <v>318</v>
      </c>
      <c r="H87" s="85" t="n">
        <f aca="false">H79-H80-H81-H82-H83+H85+H86</f>
        <v>-1487.2438213613</v>
      </c>
      <c r="I87" s="85" t="n">
        <f aca="false">I79-I80-I81-I82-I83+I85+I86</f>
        <v>-1806.58512826258</v>
      </c>
      <c r="J87" s="85" t="n">
        <f aca="false">J79-J80-J81-J82-J83+J85+J86</f>
        <v>-556.649816500821</v>
      </c>
      <c r="K87" s="85" t="n">
        <f aca="false">K79-K80-K81-K82-K83+K85+K86</f>
        <v>-45.9934376003077</v>
      </c>
      <c r="L87" s="85" t="n">
        <f aca="false">L79-L80-L81-L82-L83+L85+L86</f>
        <v>-78.1703048370068</v>
      </c>
    </row>
    <row r="88" customFormat="false" ht="15" hidden="false" customHeight="false" outlineLevel="0" collapsed="false">
      <c r="B88" s="19" t="s">
        <v>319</v>
      </c>
      <c r="G88" s="98" t="n">
        <f aca="false">'Quarterly (A)'!M40</f>
        <v>14396</v>
      </c>
      <c r="H88" s="85" t="n">
        <f aca="false">G88-H87</f>
        <v>15883.2438213613</v>
      </c>
      <c r="I88" s="85" t="n">
        <f aca="false">H88-I87</f>
        <v>17689.8289496239</v>
      </c>
      <c r="J88" s="85" t="n">
        <f aca="false">I88-J87</f>
        <v>18246.4787661247</v>
      </c>
      <c r="K88" s="85" t="n">
        <f aca="false">J88-K87</f>
        <v>18292.472203725</v>
      </c>
      <c r="L88" s="85" t="n">
        <f aca="false">K88-L87</f>
        <v>18370.642508562</v>
      </c>
    </row>
    <row r="89" customFormat="false" ht="15" hidden="false" customHeight="false" outlineLevel="0" collapsed="false">
      <c r="B89" s="9" t="s">
        <v>320</v>
      </c>
      <c r="G89" s="99" t="n">
        <f aca="false">G88/G52</f>
        <v>5.27282356845184</v>
      </c>
      <c r="H89" s="99" t="n">
        <f aca="false">H88/H52</f>
        <v>6.42528914673296</v>
      </c>
      <c r="I89" s="99" t="n">
        <f aca="false">I88/I52</f>
        <v>7.15495357309517</v>
      </c>
      <c r="J89" s="99" t="n">
        <f aca="false">J88/J52</f>
        <v>6.84539380615645</v>
      </c>
      <c r="K89" s="99" t="n">
        <f aca="false">K88/K52</f>
        <v>6.32285899045662</v>
      </c>
      <c r="L89" s="99" t="n">
        <f aca="false">L88/L52</f>
        <v>5.82445639717998</v>
      </c>
    </row>
    <row r="91" customFormat="false" ht="15" hidden="false" customHeight="false" outlineLevel="0" collapsed="false">
      <c r="B91" s="4" t="s">
        <v>321</v>
      </c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15" hidden="false" customHeight="false" outlineLevel="0" collapsed="false">
      <c r="B92" s="9" t="s">
        <v>322</v>
      </c>
      <c r="G92" s="100" t="n">
        <v>2210</v>
      </c>
      <c r="H92" s="37" t="n">
        <f aca="false">G92+H61</f>
        <v>2878.3491786387</v>
      </c>
      <c r="I92" s="37" t="n">
        <f aca="false">H92+I61</f>
        <v>3321.69045890364</v>
      </c>
      <c r="J92" s="37" t="n">
        <f aca="false">I92+J61</f>
        <v>3778.91607276412</v>
      </c>
      <c r="K92" s="37" t="n">
        <f aca="false">J92+K61</f>
        <v>4360.66785935525</v>
      </c>
      <c r="L92" s="37" t="n">
        <f aca="false">K92+L61</f>
        <v>5127.11404009885</v>
      </c>
    </row>
    <row r="93" customFormat="false" ht="15" hidden="false" customHeight="false" outlineLevel="0" collapsed="false">
      <c r="B93" s="9" t="s">
        <v>323</v>
      </c>
      <c r="G93" s="37" t="n">
        <f aca="false">G88+G92</f>
        <v>16606</v>
      </c>
      <c r="H93" s="37" t="n">
        <f aca="false">H88+H92</f>
        <v>18761.593</v>
      </c>
      <c r="I93" s="37" t="n">
        <f aca="false">I88+I92</f>
        <v>21011.5194085275</v>
      </c>
      <c r="J93" s="37" t="n">
        <f aca="false">J88+J92</f>
        <v>22025.3948388888</v>
      </c>
      <c r="K93" s="37" t="n">
        <f aca="false">K88+K92</f>
        <v>22653.1400630803</v>
      </c>
      <c r="L93" s="37" t="n">
        <f aca="false">L88+L92</f>
        <v>23497.7565486609</v>
      </c>
    </row>
    <row r="94" customFormat="false" ht="15" hidden="false" customHeight="false" outlineLevel="0" collapsed="false">
      <c r="B94" s="19" t="s">
        <v>324</v>
      </c>
      <c r="G94" s="88" t="n">
        <f aca="false">G55/G93</f>
        <v>0.0994502589425509</v>
      </c>
      <c r="H94" s="88" t="n">
        <f aca="false">H55/((H93+G93)/2)</f>
        <v>0.0784327594922612</v>
      </c>
      <c r="I94" s="88" t="n">
        <f aca="false">I55/((I93+H93)/2)</f>
        <v>0.0664966346064137</v>
      </c>
      <c r="J94" s="88" t="n">
        <f aca="false">J55/((J93+I93)/2)</f>
        <v>0.0667107269186985</v>
      </c>
      <c r="K94" s="88" t="n">
        <f aca="false">K55/((K93+J93)/2)</f>
        <v>0.0713125340055225</v>
      </c>
      <c r="L94" s="88" t="n">
        <f aca="false">L55/((L93+K93)/2)</f>
        <v>0.0773138918300933</v>
      </c>
    </row>
    <row r="95" customFormat="false" ht="15" hidden="false" customHeight="false" outlineLevel="0" collapsed="false">
      <c r="B95" s="9" t="s">
        <v>325</v>
      </c>
      <c r="G95" s="24" t="n">
        <f aca="false">DCF!$L$24</f>
        <v>0.0904511116455607</v>
      </c>
      <c r="H95" s="24" t="n">
        <f aca="false">DCF!$L$24</f>
        <v>0.0904511116455607</v>
      </c>
      <c r="I95" s="24" t="n">
        <f aca="false">DCF!$L$24</f>
        <v>0.0904511116455607</v>
      </c>
      <c r="J95" s="24" t="n">
        <f aca="false">DCF!$L$24</f>
        <v>0.0904511116455607</v>
      </c>
      <c r="K95" s="24" t="n">
        <f aca="false">DCF!$L$24</f>
        <v>0.0904511116455607</v>
      </c>
      <c r="L95" s="24" t="n">
        <f aca="false">DCF!$L$24</f>
        <v>0.0904511116455607</v>
      </c>
    </row>
    <row r="96" customFormat="false" ht="15" hidden="false" customHeight="false" outlineLevel="0" collapsed="false">
      <c r="B96" s="19" t="s">
        <v>326</v>
      </c>
      <c r="G96" s="88" t="n">
        <f aca="false">G94-G95</f>
        <v>0.00899914729699021</v>
      </c>
      <c r="H96" s="88" t="n">
        <f aca="false">H94-H95</f>
        <v>-0.0120183521532995</v>
      </c>
      <c r="I96" s="88" t="n">
        <f aca="false">I94-I95</f>
        <v>-0.023954477039147</v>
      </c>
      <c r="J96" s="88" t="n">
        <f aca="false">J94-J95</f>
        <v>-0.0237403847268622</v>
      </c>
      <c r="K96" s="88" t="n">
        <f aca="false">K94-K95</f>
        <v>-0.0191385776400383</v>
      </c>
      <c r="L96" s="88" t="n">
        <f aca="false">L94-L95</f>
        <v>-0.0131372198154674</v>
      </c>
    </row>
    <row r="98" customFormat="false" ht="15" hidden="false" customHeight="false" outlineLevel="0" collapsed="false">
      <c r="B98" s="4" t="s">
        <v>327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5" hidden="false" customHeight="false" outlineLevel="0" collapsed="false">
      <c r="B99" s="9" t="s">
        <v>291</v>
      </c>
      <c r="I99" s="37" t="n">
        <f aca="false">I55</f>
        <v>1322.38906149484</v>
      </c>
      <c r="J99" s="37" t="n">
        <f aca="false">J55</f>
        <v>1435.51191689142</v>
      </c>
      <c r="K99" s="37" t="n">
        <f aca="false">K55</f>
        <v>1593.0697697568</v>
      </c>
      <c r="L99" s="37" t="n">
        <f aca="false">L55</f>
        <v>1784.05271425099</v>
      </c>
    </row>
    <row r="100" customFormat="false" ht="15" hidden="false" customHeight="false" outlineLevel="0" collapsed="false">
      <c r="B100" s="9" t="s">
        <v>328</v>
      </c>
      <c r="I100" s="37" t="n">
        <f aca="false">MAX(0,I55*I60)</f>
        <v>26.4477812298967</v>
      </c>
      <c r="J100" s="37" t="n">
        <f aca="false">MAX(0,J55*J60)</f>
        <v>28.7102383378284</v>
      </c>
      <c r="K100" s="37" t="n">
        <f aca="false">MAX(0,K55*K60)</f>
        <v>31.8613953951359</v>
      </c>
      <c r="L100" s="37" t="n">
        <f aca="false">MAX(0,L55*L60)</f>
        <v>35.6810542850197</v>
      </c>
    </row>
    <row r="101" customFormat="false" ht="15" hidden="false" customHeight="false" outlineLevel="0" collapsed="false">
      <c r="B101" s="9" t="s">
        <v>329</v>
      </c>
      <c r="I101" s="37" t="n">
        <f aca="false">I99-I100</f>
        <v>1295.94128026494</v>
      </c>
      <c r="J101" s="37" t="n">
        <f aca="false">J99-J100</f>
        <v>1406.80167855359</v>
      </c>
      <c r="K101" s="37" t="n">
        <f aca="false">K99-K100</f>
        <v>1561.20837436166</v>
      </c>
      <c r="L101" s="37" t="n">
        <f aca="false">L99-L100</f>
        <v>1748.37165996597</v>
      </c>
    </row>
    <row r="102" customFormat="false" ht="15" hidden="false" customHeight="false" outlineLevel="0" collapsed="false">
      <c r="B102" s="9" t="s">
        <v>330</v>
      </c>
      <c r="I102" s="37" t="n">
        <f aca="false">I54</f>
        <v>1150</v>
      </c>
      <c r="J102" s="37" t="n">
        <f aca="false">J54</f>
        <v>1230</v>
      </c>
      <c r="K102" s="37" t="n">
        <f aca="false">K54</f>
        <v>1300</v>
      </c>
      <c r="L102" s="37" t="n">
        <f aca="false">L54</f>
        <v>1370</v>
      </c>
    </row>
    <row r="103" customFormat="false" ht="15" hidden="false" customHeight="false" outlineLevel="0" collapsed="false">
      <c r="B103" s="9" t="s">
        <v>331</v>
      </c>
      <c r="I103" s="37" t="n">
        <f aca="false">I82+I83</f>
        <v>3500</v>
      </c>
      <c r="J103" s="37" t="n">
        <f aca="false">J82+J83</f>
        <v>2420</v>
      </c>
      <c r="K103" s="37" t="n">
        <f aca="false">K82+K83</f>
        <v>2140</v>
      </c>
      <c r="L103" s="37" t="n">
        <f aca="false">L82+L83</f>
        <v>2460</v>
      </c>
    </row>
    <row r="104" customFormat="false" ht="15" hidden="false" customHeight="false" outlineLevel="0" collapsed="false">
      <c r="B104" s="9" t="s">
        <v>316</v>
      </c>
      <c r="I104" s="37" t="n">
        <f aca="false">I85</f>
        <v>100.073591472476</v>
      </c>
      <c r="J104" s="37" t="n">
        <f aca="false">J85</f>
        <v>176.124569638693</v>
      </c>
      <c r="K104" s="37" t="n">
        <f aca="false">K85</f>
        <v>212.254775808563</v>
      </c>
      <c r="L104" s="37" t="n">
        <f aca="false">L85</f>
        <v>245.383514419398</v>
      </c>
    </row>
    <row r="105" customFormat="false" ht="15" hidden="false" customHeight="false" outlineLevel="0" collapsed="false">
      <c r="B105" s="19" t="s">
        <v>332</v>
      </c>
      <c r="I105" s="85" t="n">
        <f aca="false">I101+I102-I103+I104</f>
        <v>-953.985128262585</v>
      </c>
      <c r="J105" s="85" t="n">
        <f aca="false">J101+J102-J103+J104</f>
        <v>392.926248192283</v>
      </c>
      <c r="K105" s="85" t="n">
        <f aca="false">K101+K102-K103+K104</f>
        <v>933.463150170224</v>
      </c>
      <c r="L105" s="85" t="n">
        <f aca="false">L101+L102-L103+L104</f>
        <v>903.755174385364</v>
      </c>
    </row>
    <row r="106" customFormat="false" ht="15" hidden="false" customHeight="false" outlineLevel="0" collapsed="false">
      <c r="B106" s="9" t="s">
        <v>333</v>
      </c>
      <c r="I106" s="101" t="n">
        <v>0.5</v>
      </c>
      <c r="J106" s="101" t="n">
        <v>1.5</v>
      </c>
      <c r="K106" s="101" t="n">
        <v>2.5</v>
      </c>
      <c r="L106" s="101" t="n">
        <v>3.5</v>
      </c>
    </row>
    <row r="107" customFormat="false" ht="15" hidden="false" customHeight="false" outlineLevel="0" collapsed="false">
      <c r="B107" s="9" t="s">
        <v>334</v>
      </c>
      <c r="I107" s="37" t="n">
        <f aca="false">I105/(1+DCF!$L$24)^I106</f>
        <v>-913.563005743745</v>
      </c>
      <c r="J107" s="37" t="n">
        <f aca="false">J105/(1+DCF!$L$24)^J106</f>
        <v>345.065660374303</v>
      </c>
      <c r="K107" s="37" t="n">
        <f aca="false">K105/(1+DCF!$L$24)^K106</f>
        <v>751.764267694526</v>
      </c>
      <c r="L107" s="37" t="n">
        <f aca="false">L105/(1+DCF!$L$24)^L106</f>
        <v>667.465923546428</v>
      </c>
    </row>
    <row r="109" customFormat="false" ht="15" hidden="false" customHeight="false" outlineLevel="0" collapsed="false">
      <c r="B10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130"/>
  <sheetViews>
    <sheetView showFormulas="false" showGridLines="fals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J44" activeCellId="0" sqref="J44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5" min="4" style="0" width="2"/>
    <col collapsed="false" customWidth="true" hidden="false" outlineLevel="0" max="17" min="6" style="0" width="10.51"/>
    <col collapsed="false" customWidth="true" hidden="false" outlineLevel="0" max="18" min="18" style="0" width="2"/>
    <col collapsed="false" customWidth="true" hidden="false" outlineLevel="0" max="21" min="19" style="0" width="11"/>
  </cols>
  <sheetData>
    <row r="2" customFormat="false" ht="15" hidden="false" customHeight="false" outlineLevel="0" collapsed="false">
      <c r="B2" s="20" t="s">
        <v>335</v>
      </c>
      <c r="C2" s="20"/>
      <c r="D2" s="20"/>
      <c r="E2" s="20"/>
      <c r="F2" s="86" t="s">
        <v>336</v>
      </c>
      <c r="G2" s="86" t="s">
        <v>337</v>
      </c>
      <c r="H2" s="86" t="s">
        <v>338</v>
      </c>
      <c r="I2" s="86" t="s">
        <v>339</v>
      </c>
      <c r="J2" s="86" t="s">
        <v>340</v>
      </c>
      <c r="K2" s="86" t="s">
        <v>341</v>
      </c>
      <c r="L2" s="86" t="s">
        <v>342</v>
      </c>
      <c r="M2" s="86" t="s">
        <v>343</v>
      </c>
      <c r="N2" s="86" t="s">
        <v>344</v>
      </c>
      <c r="O2" s="86" t="s">
        <v>345</v>
      </c>
      <c r="P2" s="86" t="s">
        <v>346</v>
      </c>
      <c r="Q2" s="86" t="s">
        <v>347</v>
      </c>
      <c r="R2" s="20"/>
      <c r="S2" s="86" t="s">
        <v>239</v>
      </c>
      <c r="T2" s="86" t="s">
        <v>240</v>
      </c>
      <c r="U2" s="86" t="s">
        <v>227</v>
      </c>
    </row>
    <row r="3" customFormat="false" ht="15" hidden="false" customHeight="false" outlineLevel="0" collapsed="false">
      <c r="B3" s="9" t="s">
        <v>348</v>
      </c>
    </row>
    <row r="5" customFormat="false" ht="15" hidden="false" customHeight="false" outlineLevel="0" collapsed="false">
      <c r="B5" s="4" t="s">
        <v>349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5" hidden="false" customHeight="false" outlineLevel="0" collapsed="false">
      <c r="B6" s="9" t="s">
        <v>350</v>
      </c>
      <c r="C6" s="102" t="s">
        <v>351</v>
      </c>
      <c r="L6" s="87" t="n">
        <v>0.05957</v>
      </c>
      <c r="M6" s="87" t="n">
        <v>0.0326</v>
      </c>
      <c r="N6" s="103" t="n">
        <f aca="false">'Fleet Qtr Build'!L12</f>
        <v>0.0334199210087331</v>
      </c>
      <c r="O6" s="103" t="n">
        <f aca="false">'Fleet Qtr Build'!M12</f>
        <v>0.000796048856315235</v>
      </c>
      <c r="P6" s="103" t="n">
        <f aca="false">'Fleet Qtr Build'!N12</f>
        <v>0.0486604898218668</v>
      </c>
      <c r="Q6" s="103" t="n">
        <f aca="false">'Fleet Qtr Build'!O12</f>
        <v>0.049831490119576</v>
      </c>
    </row>
    <row r="7" customFormat="false" ht="15" hidden="false" customHeight="false" outlineLevel="0" collapsed="false">
      <c r="B7" s="9" t="s">
        <v>352</v>
      </c>
      <c r="C7" s="102" t="s">
        <v>353</v>
      </c>
      <c r="L7" s="24" t="n">
        <f aca="false">'KPI 1 Price Build'!D10</f>
        <v>0.18</v>
      </c>
      <c r="M7" s="24" t="n">
        <f aca="false">'KPI 1 Price Build'!E10</f>
        <v>0.5</v>
      </c>
      <c r="N7" s="24" t="n">
        <f aca="false">'KPI 1 Price Build'!F10</f>
        <v>0.62</v>
      </c>
      <c r="O7" s="24" t="n">
        <f aca="false">'KPI 1 Price Build'!G10</f>
        <v>0.38</v>
      </c>
      <c r="P7" s="24" t="n">
        <f aca="false">'KPI 1 Price Build'!H10</f>
        <v>0.2</v>
      </c>
      <c r="Q7" s="24" t="n">
        <f aca="false">'KPI 1 Price Build'!I10</f>
        <v>0.48</v>
      </c>
    </row>
    <row r="8" customFormat="false" ht="15" hidden="false" customHeight="false" outlineLevel="0" collapsed="false">
      <c r="B8" s="9" t="s">
        <v>354</v>
      </c>
      <c r="L8" s="24" t="n">
        <f aca="false">'KPI 1 Price Build'!D16</f>
        <v>0</v>
      </c>
      <c r="M8" s="24" t="n">
        <f aca="false">'KPI 1 Price Build'!E16</f>
        <v>-0.36</v>
      </c>
      <c r="N8" s="24" t="n">
        <f aca="false">'KPI 1 Price Build'!F16</f>
        <v>-0.145</v>
      </c>
      <c r="O8" s="24" t="n">
        <f aca="false">'KPI 1 Price Build'!G16</f>
        <v>-0.145</v>
      </c>
      <c r="P8" s="24" t="n">
        <f aca="false">'KPI 1 Price Build'!H16</f>
        <v>-0.02</v>
      </c>
      <c r="Q8" s="24" t="n">
        <f aca="false">'KPI 1 Price Build'!I16</f>
        <v>-0.02</v>
      </c>
    </row>
    <row r="9" customFormat="false" ht="15" hidden="false" customHeight="false" outlineLevel="0" collapsed="false">
      <c r="B9" s="9" t="s">
        <v>355</v>
      </c>
      <c r="L9" s="24" t="n">
        <f aca="false">'KPI 1 Price Build'!D17</f>
        <v>0</v>
      </c>
      <c r="M9" s="24" t="n">
        <f aca="false">'KPI 1 Price Build'!E17</f>
        <v>-0.134347826086957</v>
      </c>
      <c r="N9" s="24" t="n">
        <f aca="false">'KPI 1 Price Build'!F17</f>
        <v>-0.0284615384615385</v>
      </c>
      <c r="O9" s="24" t="n">
        <f aca="false">'KPI 1 Price Build'!G17</f>
        <v>-0.0284615384615385</v>
      </c>
      <c r="P9" s="24" t="n">
        <f aca="false">'KPI 1 Price Build'!H17</f>
        <v>-0.003</v>
      </c>
      <c r="Q9" s="24" t="n">
        <f aca="false">'KPI 1 Price Build'!I17</f>
        <v>-0.003</v>
      </c>
    </row>
    <row r="10" customFormat="false" ht="15" hidden="false" customHeight="false" outlineLevel="0" collapsed="false">
      <c r="B10" s="9" t="s">
        <v>356</v>
      </c>
      <c r="C10" s="102" t="s">
        <v>357</v>
      </c>
      <c r="L10" s="24" t="n">
        <f aca="false">'KPI 1 Price Build'!D49</f>
        <v>0.006</v>
      </c>
      <c r="M10" s="24" t="n">
        <f aca="false">'KPI 1 Price Build'!E49</f>
        <v>0.009</v>
      </c>
      <c r="N10" s="24" t="n">
        <f aca="false">'KPI 1 Price Build'!F49</f>
        <v>0.0130005</v>
      </c>
      <c r="O10" s="24" t="n">
        <f aca="false">'KPI 1 Price Build'!G49</f>
        <v>0.0109995</v>
      </c>
      <c r="P10" s="24" t="n">
        <f aca="false">'KPI 1 Price Build'!H49</f>
        <v>0.0075</v>
      </c>
      <c r="Q10" s="24" t="n">
        <f aca="false">'KPI 1 Price Build'!I49</f>
        <v>0.0049995</v>
      </c>
    </row>
    <row r="12" customFormat="false" ht="15" hidden="false" customHeight="false" outlineLevel="0" collapsed="false">
      <c r="B12" s="4" t="s">
        <v>358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customFormat="false" ht="15" hidden="false" customHeight="false" outlineLevel="0" collapsed="false">
      <c r="B13" s="9" t="s">
        <v>228</v>
      </c>
      <c r="L13" s="104" t="n">
        <v>-2.4</v>
      </c>
      <c r="M13" s="104" t="n">
        <v>-2.8</v>
      </c>
      <c r="N13" s="104" t="n">
        <v>-1</v>
      </c>
      <c r="O13" s="104" t="n">
        <v>0.5</v>
      </c>
      <c r="P13" s="104" t="n">
        <v>1.5</v>
      </c>
      <c r="Q13" s="104" t="n">
        <v>2</v>
      </c>
    </row>
    <row r="14" customFormat="false" ht="15" hidden="false" customHeight="false" outlineLevel="0" collapsed="false">
      <c r="B14" s="9" t="s">
        <v>359</v>
      </c>
      <c r="L14" s="87" t="n">
        <v>-0.0995</v>
      </c>
      <c r="M14" s="87" t="n">
        <v>-0.0274038559010782</v>
      </c>
      <c r="N14" s="87" t="n">
        <v>0.005</v>
      </c>
      <c r="O14" s="87" t="n">
        <v>0.005</v>
      </c>
      <c r="P14" s="87" t="n">
        <v>0.005</v>
      </c>
      <c r="Q14" s="87" t="n">
        <v>0.005</v>
      </c>
    </row>
    <row r="15" customFormat="false" ht="15" hidden="false" customHeight="false" outlineLevel="0" collapsed="false">
      <c r="B15" s="9" t="s">
        <v>360</v>
      </c>
      <c r="L15" s="103" t="n">
        <f aca="false">'KPI 1 Price Build'!D40</f>
        <v>0</v>
      </c>
      <c r="M15" s="103" t="n">
        <f aca="false">'KPI 1 Price Build'!E40</f>
        <v>-0.0328961440989218</v>
      </c>
      <c r="N15" s="103" t="n">
        <f aca="false">'KPI 1 Price Build'!F40</f>
        <v>-0.0185598341696066</v>
      </c>
      <c r="O15" s="103" t="n">
        <f aca="false">'KPI 1 Price Build'!G40</f>
        <v>-0.013061766490177</v>
      </c>
      <c r="P15" s="103" t="n">
        <f aca="false">'KPI 1 Price Build'!H40</f>
        <v>-0.00109070973291065</v>
      </c>
      <c r="Q15" s="103" t="n">
        <f aca="false">'KPI 1 Price Build'!I40</f>
        <v>-0.00203007441064538</v>
      </c>
    </row>
    <row r="16" customFormat="false" ht="15" hidden="false" customHeight="false" outlineLevel="0" collapsed="false">
      <c r="B16" s="9" t="s">
        <v>361</v>
      </c>
      <c r="L16" s="87" t="n">
        <v>0.005</v>
      </c>
      <c r="M16" s="87" t="n">
        <v>0.005</v>
      </c>
      <c r="N16" s="87" t="n">
        <v>0.01</v>
      </c>
      <c r="O16" s="87" t="n">
        <v>0.01</v>
      </c>
      <c r="P16" s="87" t="n">
        <v>0.01</v>
      </c>
      <c r="Q16" s="87" t="n">
        <v>0.01</v>
      </c>
    </row>
    <row r="17" customFormat="false" ht="15" hidden="false" customHeight="false" outlineLevel="0" collapsed="false">
      <c r="B17" s="9" t="s">
        <v>362</v>
      </c>
      <c r="L17" s="87" t="n">
        <v>0</v>
      </c>
      <c r="M17" s="87" t="n">
        <v>0</v>
      </c>
      <c r="N17" s="87" t="n">
        <v>0</v>
      </c>
      <c r="O17" s="87" t="n">
        <v>0</v>
      </c>
      <c r="P17" s="87" t="n">
        <v>0</v>
      </c>
      <c r="Q17" s="87" t="n">
        <v>0</v>
      </c>
    </row>
    <row r="18" customFormat="false" ht="15" hidden="false" customHeight="false" outlineLevel="0" collapsed="false">
      <c r="B18" s="9" t="s">
        <v>363</v>
      </c>
      <c r="L18" s="87" t="n">
        <v>0.04</v>
      </c>
      <c r="M18" s="87" t="n">
        <v>0.03</v>
      </c>
      <c r="N18" s="87" t="n">
        <v>0.035</v>
      </c>
      <c r="O18" s="87" t="n">
        <v>0.03</v>
      </c>
      <c r="P18" s="87" t="n">
        <v>0.035</v>
      </c>
      <c r="Q18" s="87" t="n">
        <v>0.035</v>
      </c>
    </row>
    <row r="19" customFormat="false" ht="15" hidden="false" customHeight="false" outlineLevel="0" collapsed="false">
      <c r="B19" s="9" t="s">
        <v>270</v>
      </c>
      <c r="F19" s="91" t="n">
        <f aca="false">'Quarterly (A)'!E29</f>
        <v>5.7006</v>
      </c>
      <c r="G19" s="91" t="n">
        <f aca="false">'Quarterly (A)'!F29</f>
        <v>6.0523</v>
      </c>
      <c r="H19" s="91" t="n">
        <f aca="false">'Quarterly (A)'!G29</f>
        <v>6.4176</v>
      </c>
      <c r="I19" s="91" t="n">
        <f aca="false">'Quarterly (A)'!H29</f>
        <v>6.2631</v>
      </c>
      <c r="J19" s="91" t="n">
        <f aca="false">'Quarterly (A)'!I29</f>
        <v>6.393</v>
      </c>
      <c r="K19" s="91" t="n">
        <f aca="false">'Quarterly (A)'!J29</f>
        <v>6.5897</v>
      </c>
      <c r="L19" s="92" t="n">
        <f aca="false">H19*(1+L$6)</f>
        <v>6.799896432</v>
      </c>
      <c r="M19" s="92" t="n">
        <f aca="false">I19*(1+M$6)</f>
        <v>6.46727706</v>
      </c>
      <c r="N19" s="92" t="n">
        <f aca="false">J19*(1+N$6)</f>
        <v>6.60665355500883</v>
      </c>
      <c r="O19" s="92" t="n">
        <f aca="false">K19*(1+O$6)</f>
        <v>6.59494572314846</v>
      </c>
      <c r="P19" s="92" t="n">
        <f aca="false">L19*(1+P$6)</f>
        <v>7.13078272311908</v>
      </c>
      <c r="Q19" s="92" t="n">
        <f aca="false">M19*(1+Q$6)</f>
        <v>6.78955111291595</v>
      </c>
      <c r="S19" s="92" t="n">
        <f aca="false">SUM(F19:I19)</f>
        <v>24.4336</v>
      </c>
      <c r="T19" s="92" t="n">
        <f aca="false">SUM(J19:M19)</f>
        <v>26.249873492</v>
      </c>
      <c r="U19" s="92" t="n">
        <f aca="false">SUM(N19:Q19)</f>
        <v>27.1219331141923</v>
      </c>
    </row>
    <row r="20" customFormat="false" ht="15" hidden="false" customHeight="false" outlineLevel="0" collapsed="false">
      <c r="B20" s="9" t="s">
        <v>58</v>
      </c>
      <c r="F20" s="24" t="n">
        <f aca="false">'Quarterly (A)'!E31</f>
        <v>1.01519138336316</v>
      </c>
      <c r="G20" s="24" t="n">
        <f aca="false">'Quarterly (A)'!F31</f>
        <v>1.03907605373164</v>
      </c>
      <c r="H20" s="24" t="n">
        <f aca="false">'Quarterly (A)'!G31</f>
        <v>1.06399588631264</v>
      </c>
      <c r="I20" s="24" t="n">
        <f aca="false">'Quarterly (A)'!H31</f>
        <v>1.01772285290032</v>
      </c>
      <c r="J20" s="24" t="n">
        <f aca="false">'Quarterly (A)'!I31</f>
        <v>1.0377756921633</v>
      </c>
      <c r="K20" s="24" t="n">
        <f aca="false">'Quarterly (A)'!J31</f>
        <v>1.02371883393781</v>
      </c>
      <c r="L20" s="11" t="n">
        <f aca="false">H20+L13/100</f>
        <v>1.03999588631264</v>
      </c>
      <c r="M20" s="11" t="n">
        <f aca="false">I20+M13/100</f>
        <v>0.989722852900321</v>
      </c>
      <c r="N20" s="11" t="n">
        <f aca="false">J20+N13/100</f>
        <v>1.0277756921633</v>
      </c>
      <c r="O20" s="11" t="n">
        <f aca="false">K20+O13/100</f>
        <v>1.02871883393781</v>
      </c>
      <c r="P20" s="11" t="n">
        <f aca="false">L20+P13/100</f>
        <v>1.05499588631264</v>
      </c>
      <c r="Q20" s="11" t="n">
        <f aca="false">M20+Q13/100</f>
        <v>1.00972285290032</v>
      </c>
      <c r="S20" s="11" t="n">
        <f aca="false">S21/S19</f>
        <v>1.03457533887761</v>
      </c>
      <c r="T20" s="11" t="n">
        <f aca="false">T21/T19</f>
        <v>1.02298307179026</v>
      </c>
      <c r="U20" s="11" t="n">
        <f aca="false">U21/U19</f>
        <v>1.03064239726635</v>
      </c>
    </row>
    <row r="21" customFormat="false" ht="15" hidden="false" customHeight="false" outlineLevel="0" collapsed="false">
      <c r="B21" s="9" t="s">
        <v>272</v>
      </c>
      <c r="F21" s="92" t="n">
        <f aca="false">F19*F20</f>
        <v>5.7872</v>
      </c>
      <c r="G21" s="92" t="n">
        <f aca="false">G19*G20</f>
        <v>6.2888</v>
      </c>
      <c r="H21" s="92" t="n">
        <f aca="false">H19*H20</f>
        <v>6.8283</v>
      </c>
      <c r="I21" s="92" t="n">
        <f aca="false">I19*I20</f>
        <v>6.3741</v>
      </c>
      <c r="J21" s="92" t="n">
        <f aca="false">J19*J20</f>
        <v>6.6345</v>
      </c>
      <c r="K21" s="92" t="n">
        <f aca="false">K19*K20</f>
        <v>6.746</v>
      </c>
      <c r="L21" s="92" t="n">
        <f aca="false">L19*L20</f>
        <v>7.071864316632</v>
      </c>
      <c r="M21" s="92" t="n">
        <f aca="false">M19*M20</f>
        <v>6.40081190232</v>
      </c>
      <c r="N21" s="92" t="n">
        <f aca="false">N19*N20</f>
        <v>6.79015793038235</v>
      </c>
      <c r="O21" s="92" t="n">
        <f aca="false">O19*O20</f>
        <v>6.78434487420045</v>
      </c>
      <c r="P21" s="92" t="n">
        <f aca="false">P19*P20</f>
        <v>7.52294643907988</v>
      </c>
      <c r="Q21" s="92" t="n">
        <f aca="false">Q19*Q20</f>
        <v>6.85556491964604</v>
      </c>
      <c r="S21" s="92" t="n">
        <f aca="false">SUM(F21:I21)</f>
        <v>25.2784</v>
      </c>
      <c r="T21" s="92" t="n">
        <f aca="false">SUM(J21:M21)</f>
        <v>26.853176218952</v>
      </c>
      <c r="U21" s="92" t="n">
        <f aca="false">SUM(N21:Q21)</f>
        <v>27.9530141633087</v>
      </c>
    </row>
    <row r="22" customFormat="false" ht="15" hidden="false" customHeight="false" outlineLevel="0" collapsed="false">
      <c r="B22" s="9" t="s">
        <v>364</v>
      </c>
      <c r="L22" s="11" t="n">
        <f aca="false">L14</f>
        <v>-0.0995</v>
      </c>
      <c r="M22" s="11" t="n">
        <f aca="false">M14</f>
        <v>-0.0274038559010782</v>
      </c>
      <c r="N22" s="11" t="n">
        <f aca="false">N14</f>
        <v>0.005</v>
      </c>
      <c r="O22" s="11" t="n">
        <f aca="false">O14</f>
        <v>0.005</v>
      </c>
      <c r="P22" s="11" t="n">
        <f aca="false">P14</f>
        <v>0.005</v>
      </c>
      <c r="Q22" s="11" t="n">
        <f aca="false">Q14</f>
        <v>0.005</v>
      </c>
    </row>
    <row r="23" customFormat="false" ht="15" hidden="false" customHeight="false" outlineLevel="0" collapsed="false">
      <c r="B23" s="9" t="s">
        <v>365</v>
      </c>
      <c r="L23" s="11" t="n">
        <f aca="false">L15+L17</f>
        <v>0</v>
      </c>
      <c r="M23" s="11" t="n">
        <f aca="false">M15+M17</f>
        <v>-0.0328961440989218</v>
      </c>
      <c r="N23" s="11" t="n">
        <f aca="false">N15+N17</f>
        <v>-0.0185598341696066</v>
      </c>
      <c r="O23" s="11" t="n">
        <f aca="false">O15+O17</f>
        <v>-0.013061766490177</v>
      </c>
      <c r="P23" s="11" t="n">
        <f aca="false">P15+P17</f>
        <v>-0.00109070973291065</v>
      </c>
      <c r="Q23" s="11" t="n">
        <f aca="false">Q15+Q17</f>
        <v>-0.00203007441064538</v>
      </c>
    </row>
    <row r="24" customFormat="false" ht="15" hidden="false" customHeight="false" outlineLevel="0" collapsed="false">
      <c r="B24" s="19" t="s">
        <v>366</v>
      </c>
      <c r="L24" s="88" t="n">
        <f aca="false">L22+L23</f>
        <v>-0.0995</v>
      </c>
      <c r="M24" s="88" t="n">
        <f aca="false">M22+M23</f>
        <v>-0.0603</v>
      </c>
      <c r="N24" s="88" t="n">
        <f aca="false">N22+N23</f>
        <v>-0.0135598341696066</v>
      </c>
      <c r="O24" s="88" t="n">
        <f aca="false">O22+O23</f>
        <v>-0.00806176649017699</v>
      </c>
      <c r="P24" s="88" t="n">
        <f aca="false">P22+P23</f>
        <v>0.00390929026708935</v>
      </c>
      <c r="Q24" s="88" t="n">
        <f aca="false">Q22+Q23</f>
        <v>0.00296992558935462</v>
      </c>
    </row>
    <row r="25" customFormat="false" ht="15" hidden="false" customHeight="false" outlineLevel="0" collapsed="false">
      <c r="B25" s="9" t="s">
        <v>367</v>
      </c>
      <c r="F25" s="26" t="n">
        <f aca="false">'Quarterly (A)'!E34</f>
        <v>245.141692009953</v>
      </c>
      <c r="G25" s="26" t="n">
        <f aca="false">'Quarterly (A)'!F34</f>
        <v>271.750572446254</v>
      </c>
      <c r="H25" s="26" t="n">
        <f aca="false">'Quarterly (A)'!G34</f>
        <v>300.215134074367</v>
      </c>
      <c r="I25" s="26" t="n">
        <f aca="false">'Quarterly (A)'!H34</f>
        <v>236.902307776784</v>
      </c>
      <c r="J25" s="26" t="n">
        <f aca="false">'Quarterly (A)'!I34</f>
        <v>232.46981686638</v>
      </c>
      <c r="K25" s="26" t="n">
        <f aca="false">'Quarterly (A)'!J34</f>
        <v>256.424251408242</v>
      </c>
      <c r="L25" s="38" t="n">
        <f aca="false">H25*(1+L24+L16)</f>
        <v>271.844803904339</v>
      </c>
      <c r="M25" s="38" t="n">
        <f aca="false">I25*(1+M24+M16)</f>
        <v>223.801610156728</v>
      </c>
      <c r="N25" s="38" t="n">
        <f aca="false">J25*(1+N24+N16)</f>
        <v>231.642262868897</v>
      </c>
      <c r="O25" s="38" t="n">
        <f aca="false">K25*(1+O24+O16)</f>
        <v>256.921261485053</v>
      </c>
      <c r="P25" s="38" t="n">
        <f aca="false">L25*(1+P24+P16)</f>
        <v>275.625972189445</v>
      </c>
      <c r="Q25" s="38" t="n">
        <f aca="false">M25*(1+Q24+Q16)</f>
        <v>226.704300387239</v>
      </c>
      <c r="S25" s="38" t="n">
        <f aca="false">S32/S21</f>
        <v>264.56053389455</v>
      </c>
      <c r="T25" s="38" t="n">
        <f aca="false">T32/T21</f>
        <v>246.790939157704</v>
      </c>
      <c r="U25" s="38" t="n">
        <f aca="false">U32/U21</f>
        <v>248.403818849797</v>
      </c>
    </row>
    <row r="26" customFormat="false" ht="15" hidden="false" customHeight="false" outlineLevel="0" collapsed="false">
      <c r="B26" s="9" t="s">
        <v>368</v>
      </c>
      <c r="F26" s="26" t="n">
        <f aca="false">'Quarterly (A)'!E35</f>
        <v>122.489113906552</v>
      </c>
      <c r="G26" s="26" t="n">
        <f aca="false">'Quarterly (A)'!F35</f>
        <v>128.563795954713</v>
      </c>
      <c r="H26" s="26" t="n">
        <f aca="false">'Quarterly (A)'!G35</f>
        <v>130.07381046527</v>
      </c>
      <c r="I26" s="26" t="n">
        <f aca="false">'Quarterly (A)'!H35</f>
        <v>115.210147314915</v>
      </c>
      <c r="J26" s="26" t="n">
        <f aca="false">'Quarterly (A)'!I35</f>
        <v>118.90873464466</v>
      </c>
      <c r="K26" s="26" t="n">
        <f aca="false">'Quarterly (A)'!J35</f>
        <v>134.999407056033</v>
      </c>
      <c r="L26" s="38" t="n">
        <f aca="false">H26*(1+L18)</f>
        <v>135.27676288388</v>
      </c>
      <c r="M26" s="38" t="n">
        <f aca="false">I26*(1+M18)</f>
        <v>118.666451734362</v>
      </c>
      <c r="N26" s="38" t="n">
        <f aca="false">J26*(1+N18)</f>
        <v>123.070540357224</v>
      </c>
      <c r="O26" s="38" t="n">
        <f aca="false">K26*(1+O18)</f>
        <v>139.049389267714</v>
      </c>
      <c r="P26" s="38" t="n">
        <f aca="false">L26*(1+P18)</f>
        <v>140.011449584816</v>
      </c>
      <c r="Q26" s="38" t="n">
        <f aca="false">M26*(1+Q18)</f>
        <v>122.819777545065</v>
      </c>
      <c r="S26" s="38" t="n">
        <f aca="false">S33/S21</f>
        <v>124.213755617444</v>
      </c>
      <c r="T26" s="38" t="n">
        <f aca="false">T33/T21</f>
        <v>127.203818316458</v>
      </c>
      <c r="U26" s="38" t="n">
        <f aca="false">U33/U21</f>
        <v>131.446469061869</v>
      </c>
    </row>
    <row r="27" customFormat="false" ht="15" hidden="false" customHeight="false" outlineLevel="0" collapsed="false">
      <c r="B27" s="9" t="s">
        <v>369</v>
      </c>
      <c r="F27" s="24" t="n">
        <f aca="false">'Quarterly (A)'!E36</f>
        <v>0.278668822655362</v>
      </c>
      <c r="G27" s="24" t="n">
        <f aca="false">'Quarterly (A)'!F36</f>
        <v>0.285453061320023</v>
      </c>
      <c r="H27" s="24" t="n">
        <f aca="false">'Quarterly (A)'!G36</f>
        <v>0.254629970648193</v>
      </c>
      <c r="I27" s="24" t="n">
        <f aca="false">'Quarterly (A)'!H36</f>
        <v>0.249559779581852</v>
      </c>
      <c r="J27" s="24" t="n">
        <f aca="false">'Quarterly (A)'!I36</f>
        <v>0.257796528738181</v>
      </c>
      <c r="K27" s="24" t="n">
        <f aca="false">'Quarterly (A)'!J36</f>
        <v>0.280181149911148</v>
      </c>
      <c r="L27" s="11" t="n">
        <f aca="false">H27+L$10</f>
        <v>0.260629970648193</v>
      </c>
      <c r="M27" s="11" t="n">
        <f aca="false">I27+M$10</f>
        <v>0.258559779581852</v>
      </c>
      <c r="N27" s="11" t="n">
        <f aca="false">J27+N$10</f>
        <v>0.270797028738181</v>
      </c>
      <c r="O27" s="11" t="n">
        <f aca="false">K27+O$10</f>
        <v>0.291180649911148</v>
      </c>
      <c r="P27" s="11" t="n">
        <f aca="false">L27+P$10</f>
        <v>0.268129970648193</v>
      </c>
      <c r="Q27" s="11" t="n">
        <f aca="false">M27+Q$10</f>
        <v>0.263559279581852</v>
      </c>
      <c r="S27" s="11" t="n">
        <f aca="false">S35/S32</f>
        <v>0.266461233790498</v>
      </c>
      <c r="T27" s="11" t="n">
        <f aca="false">T35/T32</f>
        <v>0.264626385379849</v>
      </c>
      <c r="U27" s="11" t="n">
        <f aca="false">U35/U32</f>
        <v>0.273497416945744</v>
      </c>
    </row>
    <row r="28" customFormat="false" ht="15" hidden="false" customHeight="false" outlineLevel="0" collapsed="false">
      <c r="B28" s="9" t="s">
        <v>370</v>
      </c>
      <c r="F28" s="24" t="n">
        <f aca="false">'Quarterly (A)'!E37</f>
        <v>0.195886687102977</v>
      </c>
      <c r="G28" s="24" t="n">
        <f aca="false">'Quarterly (A)'!F37</f>
        <v>0.232135082719861</v>
      </c>
      <c r="H28" s="24" t="n">
        <f aca="false">'Quarterly (A)'!G37</f>
        <v>0.249950742133096</v>
      </c>
      <c r="I28" s="24" t="n">
        <f aca="false">'Quarterly (A)'!H37</f>
        <v>0.190887043293421</v>
      </c>
      <c r="J28" s="24" t="n">
        <f aca="false">'Quarterly (A)'!I37</f>
        <v>0.192506021041957</v>
      </c>
      <c r="K28" s="24" t="n">
        <f aca="false">'Quarterly (A)'!J37</f>
        <v>0.210217128249951</v>
      </c>
      <c r="L28" s="11" t="n">
        <f aca="false">H28</f>
        <v>0.249950742133096</v>
      </c>
      <c r="M28" s="11" t="n">
        <f aca="false">I28</f>
        <v>0.190887043293421</v>
      </c>
      <c r="N28" s="11" t="n">
        <f aca="false">J28</f>
        <v>0.192506021041957</v>
      </c>
      <c r="O28" s="11" t="n">
        <f aca="false">K28</f>
        <v>0.210217128249951</v>
      </c>
      <c r="P28" s="11" t="n">
        <f aca="false">L28</f>
        <v>0.249950742133096</v>
      </c>
      <c r="Q28" s="11" t="n">
        <f aca="false">M28</f>
        <v>0.190887043293421</v>
      </c>
      <c r="S28" s="11" t="n">
        <f aca="false">S36/S33</f>
        <v>0.219344092613677</v>
      </c>
      <c r="T28" s="11" t="n">
        <f aca="false">T36/T33</f>
        <v>0.212956386892763</v>
      </c>
      <c r="U28" s="11" t="n">
        <f aca="false">U36/U33</f>
        <v>0.213149595344094</v>
      </c>
    </row>
    <row r="29" customFormat="false" ht="15" hidden="false" customHeight="false" outlineLevel="0" collapsed="false">
      <c r="B29" s="19" t="s">
        <v>371</v>
      </c>
      <c r="F29" s="94" t="n">
        <f aca="false">F25+F26-F25*F27-F26*F28</f>
        <v>275.323472491015</v>
      </c>
      <c r="G29" s="94" t="n">
        <f aca="false">G25+G26-G25*G27-G26*G28</f>
        <v>292.898168171988</v>
      </c>
      <c r="H29" s="94" t="n">
        <f aca="false">H25+H26-H25*H27-H26*H28</f>
        <v>321.333128304263</v>
      </c>
      <c r="I29" s="94" t="n">
        <f aca="false">I25+I26-I25*I27-I26*I28</f>
        <v>270.999043002149</v>
      </c>
      <c r="J29" s="94" t="n">
        <f aca="false">J25+J26-J25*J27-J26*J28</f>
        <v>268.55799231291</v>
      </c>
      <c r="K29" s="94" t="n">
        <f aca="false">K25+K26-K25*K27-K26*K28</f>
        <v>291.199229172843</v>
      </c>
      <c r="L29" s="94" t="n">
        <f aca="false">L25+L26-L25*L27-L26*L28</f>
        <v>302.458136249579</v>
      </c>
      <c r="M29" s="94" t="n">
        <f aca="false">M25+M26-M25*M27-M26*M28</f>
        <v>261.950078789209</v>
      </c>
      <c r="N29" s="94" t="n">
        <f aca="false">N25+N26-N25*N27-N26*N28</f>
        <v>268.292946679382</v>
      </c>
      <c r="O29" s="94" t="n">
        <f aca="false">O25+O26-O25*O27-O26*O28</f>
        <v>291.929587560789</v>
      </c>
      <c r="P29" s="94" t="n">
        <f aca="false">P25+P26-P25*P27-P26*P28</f>
        <v>306.73787221037</v>
      </c>
      <c r="Q29" s="94" t="n">
        <f aca="false">Q25+Q26-Q25*Q27-Q26*Q28</f>
        <v>266.329351650602</v>
      </c>
      <c r="S29" s="38" t="n">
        <f aca="false">S37/S21</f>
        <v>291.033609722134</v>
      </c>
      <c r="T29" s="38" t="n">
        <f aca="false">T37/T21</f>
        <v>281.598497752724</v>
      </c>
      <c r="U29" s="38" t="n">
        <f aca="false">U37/U21</f>
        <v>283.894723406841</v>
      </c>
    </row>
    <row r="30" customFormat="false" ht="15" hidden="false" customHeight="false" outlineLevel="0" collapsed="false">
      <c r="B30" s="19" t="s">
        <v>372</v>
      </c>
      <c r="F30" s="94" t="n">
        <f aca="false">F29*F20</f>
        <v>279.506016910501</v>
      </c>
      <c r="G30" s="94" t="n">
        <f aca="false">G29*G20</f>
        <v>304.343472729376</v>
      </c>
      <c r="H30" s="94" t="n">
        <f aca="false">H29*H20</f>
        <v>341.897126651708</v>
      </c>
      <c r="I30" s="94" t="n">
        <f aca="false">I29*I20</f>
        <v>275.801919177404</v>
      </c>
      <c r="J30" s="94" t="n">
        <f aca="false">J29*J20</f>
        <v>278.702956358517</v>
      </c>
      <c r="K30" s="94" t="n">
        <f aca="false">K29*K20</f>
        <v>298.106135332413</v>
      </c>
      <c r="L30" s="94" t="n">
        <f aca="false">L29*L20</f>
        <v>314.55521748135</v>
      </c>
      <c r="M30" s="94" t="n">
        <f aca="false">M29*M20</f>
        <v>259.25797929672</v>
      </c>
      <c r="N30" s="94" t="n">
        <f aca="false">N29*N20</f>
        <v>275.744968975934</v>
      </c>
      <c r="O30" s="94" t="n">
        <f aca="false">O29*O20</f>
        <v>300.313464907481</v>
      </c>
      <c r="P30" s="94" t="n">
        <f aca="false">P29*P20</f>
        <v>323.607193358233</v>
      </c>
      <c r="Q30" s="94" t="n">
        <f aca="false">Q29*Q20</f>
        <v>268.918832759739</v>
      </c>
      <c r="S30" s="94" t="n">
        <f aca="false">S37/S19</f>
        <v>301.096195403052</v>
      </c>
      <c r="T30" s="94" t="n">
        <f aca="false">T37/T19</f>
        <v>288.070496242605</v>
      </c>
      <c r="U30" s="94" t="n">
        <f aca="false">U37/U19</f>
        <v>292.593938303293</v>
      </c>
    </row>
    <row r="31" customFormat="false" ht="15" hidden="false" customHeight="false" outlineLevel="0" collapsed="false">
      <c r="B31" s="9" t="s">
        <v>373</v>
      </c>
      <c r="J31" s="11" t="n">
        <f aca="false">J30/F30-1</f>
        <v>-0.00287314227028157</v>
      </c>
      <c r="K31" s="11" t="n">
        <f aca="false">K30/G30-1</f>
        <v>-0.0204944017396722</v>
      </c>
      <c r="L31" s="11" t="n">
        <f aca="false">L30/H30-1</f>
        <v>-0.0799711581028029</v>
      </c>
      <c r="M31" s="11" t="n">
        <f aca="false">M30/I30-1</f>
        <v>-0.0599848613455166</v>
      </c>
      <c r="N31" s="11" t="n">
        <f aca="false">N30/J30-1</f>
        <v>-0.0106134051150065</v>
      </c>
      <c r="O31" s="11" t="n">
        <f aca="false">O30/K30-1</f>
        <v>0.00740450904375734</v>
      </c>
      <c r="P31" s="11" t="n">
        <f aca="false">P30/L30-1</f>
        <v>0.0287770648007739</v>
      </c>
      <c r="Q31" s="11" t="n">
        <f aca="false">Q30/M30-1</f>
        <v>0.0372634758985058</v>
      </c>
      <c r="S31" s="11" t="n">
        <f aca="false">S30/'Quarterly (A)'!L32-1</f>
        <v>0.0229928520847233</v>
      </c>
      <c r="T31" s="88" t="n">
        <f aca="false">T30/S30-1</f>
        <v>-0.0432609224537355</v>
      </c>
      <c r="U31" s="88" t="n">
        <f aca="false">U30/T30-1</f>
        <v>0.0157025523949459</v>
      </c>
    </row>
    <row r="32" customFormat="false" ht="15" hidden="false" customHeight="false" outlineLevel="0" collapsed="false">
      <c r="B32" s="9" t="s">
        <v>374</v>
      </c>
      <c r="F32" s="37" t="n">
        <f aca="false">F25*F21</f>
        <v>1418.684</v>
      </c>
      <c r="G32" s="37" t="n">
        <f aca="false">G25*G21</f>
        <v>1708.985</v>
      </c>
      <c r="H32" s="37" t="n">
        <f aca="false">H25*H21</f>
        <v>2049.959</v>
      </c>
      <c r="I32" s="37" t="n">
        <f aca="false">I25*I21</f>
        <v>1510.039</v>
      </c>
      <c r="J32" s="37" t="n">
        <f aca="false">J25*J21</f>
        <v>1542.321</v>
      </c>
      <c r="K32" s="37" t="n">
        <f aca="false">K25*K21</f>
        <v>1729.838</v>
      </c>
      <c r="L32" s="37" t="n">
        <f aca="false">L25*L21</f>
        <v>1922.44956839292</v>
      </c>
      <c r="M32" s="37" t="n">
        <f aca="false">M25*M21</f>
        <v>1432.51201004957</v>
      </c>
      <c r="N32" s="37" t="n">
        <f aca="false">N25*N21</f>
        <v>1572.88754823096</v>
      </c>
      <c r="O32" s="37" t="n">
        <f aca="false">O25*O21</f>
        <v>1743.04244342923</v>
      </c>
      <c r="P32" s="37" t="n">
        <f aca="false">P25*P21</f>
        <v>2073.51942600051</v>
      </c>
      <c r="Q32" s="37" t="n">
        <f aca="false">Q25*Q21</f>
        <v>1554.18604886765</v>
      </c>
      <c r="S32" s="37" t="n">
        <f aca="false">SUM(F32:I32)</f>
        <v>6687.667</v>
      </c>
      <c r="T32" s="37" t="n">
        <f aca="false">SUM(J32:M32)</f>
        <v>6627.12057844249</v>
      </c>
      <c r="U32" s="37" t="n">
        <f aca="false">SUM(N32:Q32)</f>
        <v>6943.63546652835</v>
      </c>
    </row>
    <row r="33" customFormat="false" ht="15" hidden="false" customHeight="false" outlineLevel="0" collapsed="false">
      <c r="B33" s="9" t="s">
        <v>375</v>
      </c>
      <c r="F33" s="37" t="n">
        <f aca="false">F26*F21</f>
        <v>708.869</v>
      </c>
      <c r="G33" s="37" t="n">
        <f aca="false">G26*G21</f>
        <v>808.512</v>
      </c>
      <c r="H33" s="37" t="n">
        <f aca="false">H26*H21</f>
        <v>888.183</v>
      </c>
      <c r="I33" s="37" t="n">
        <f aca="false">I26*I21</f>
        <v>734.361</v>
      </c>
      <c r="J33" s="37" t="n">
        <f aca="false">J26*J21</f>
        <v>788.9</v>
      </c>
      <c r="K33" s="37" t="n">
        <f aca="false">K26*K21</f>
        <v>910.706</v>
      </c>
      <c r="L33" s="37" t="n">
        <f aca="false">L26*L21</f>
        <v>956.658912308001</v>
      </c>
      <c r="M33" s="37" t="n">
        <f aca="false">M26*M21</f>
        <v>759.561636667389</v>
      </c>
      <c r="N33" s="37" t="n">
        <f aca="false">N26*N21</f>
        <v>835.668405603043</v>
      </c>
      <c r="O33" s="37" t="n">
        <f aca="false">O26*O21</f>
        <v>943.359011339119</v>
      </c>
      <c r="P33" s="37" t="n">
        <f aca="false">P26*P21</f>
        <v>1053.2986360845</v>
      </c>
      <c r="Q33" s="37" t="n">
        <f aca="false">Q26*Q21</f>
        <v>841.99895837668</v>
      </c>
      <c r="S33" s="37" t="n">
        <f aca="false">SUM(F33:I33)</f>
        <v>3139.925</v>
      </c>
      <c r="T33" s="37" t="n">
        <f aca="false">SUM(J33:M33)</f>
        <v>3415.82654897539</v>
      </c>
      <c r="U33" s="37" t="n">
        <f aca="false">SUM(N33:Q33)</f>
        <v>3674.32501140335</v>
      </c>
    </row>
    <row r="34" customFormat="false" ht="15" hidden="false" customHeight="false" outlineLevel="0" collapsed="false">
      <c r="B34" s="9" t="s">
        <v>376</v>
      </c>
      <c r="F34" s="37" t="n">
        <f aca="false">F32+F33</f>
        <v>2127.553</v>
      </c>
      <c r="G34" s="37" t="n">
        <f aca="false">G32+G33</f>
        <v>2517.497</v>
      </c>
      <c r="H34" s="37" t="n">
        <f aca="false">H32+H33</f>
        <v>2938.142</v>
      </c>
      <c r="I34" s="37" t="n">
        <f aca="false">I32+I33</f>
        <v>2244.4</v>
      </c>
      <c r="J34" s="37" t="n">
        <f aca="false">J32+J33</f>
        <v>2331.221</v>
      </c>
      <c r="K34" s="37" t="n">
        <f aca="false">K32+K33</f>
        <v>2640.544</v>
      </c>
      <c r="L34" s="37" t="n">
        <f aca="false">L32+L33</f>
        <v>2879.10848070092</v>
      </c>
      <c r="M34" s="37" t="n">
        <f aca="false">M32+M33</f>
        <v>2192.07364671695</v>
      </c>
      <c r="N34" s="37" t="n">
        <f aca="false">N32+N33</f>
        <v>2408.555953834</v>
      </c>
      <c r="O34" s="37" t="n">
        <f aca="false">O32+O33</f>
        <v>2686.40145476835</v>
      </c>
      <c r="P34" s="37" t="n">
        <f aca="false">P32+P33</f>
        <v>3126.81806208502</v>
      </c>
      <c r="Q34" s="37" t="n">
        <f aca="false">Q32+Q33</f>
        <v>2396.18500724433</v>
      </c>
      <c r="S34" s="37" t="n">
        <f aca="false">SUM(F34:I34)</f>
        <v>9827.592</v>
      </c>
      <c r="T34" s="37" t="n">
        <f aca="false">SUM(J34:M34)</f>
        <v>10042.9471274179</v>
      </c>
      <c r="U34" s="37" t="n">
        <f aca="false">SUM(N34:Q34)</f>
        <v>10617.9604779317</v>
      </c>
    </row>
    <row r="35" customFormat="false" ht="15" hidden="false" customHeight="false" outlineLevel="0" collapsed="false">
      <c r="B35" s="9" t="s">
        <v>377</v>
      </c>
      <c r="F35" s="37" t="n">
        <f aca="false">F32*F27</f>
        <v>395.343</v>
      </c>
      <c r="G35" s="37" t="n">
        <f aca="false">G32*G27</f>
        <v>487.835</v>
      </c>
      <c r="H35" s="37" t="n">
        <f aca="false">H32*H27</f>
        <v>521.981</v>
      </c>
      <c r="I35" s="37" t="n">
        <f aca="false">I32*I27</f>
        <v>376.845</v>
      </c>
      <c r="J35" s="37" t="n">
        <f aca="false">J32*J27</f>
        <v>397.605</v>
      </c>
      <c r="K35" s="37" t="n">
        <f aca="false">K32*K27</f>
        <v>484.668</v>
      </c>
      <c r="L35" s="37" t="n">
        <f aca="false">L32*L27</f>
        <v>501.047974582879</v>
      </c>
      <c r="M35" s="37" t="n">
        <f aca="false">M32*M27</f>
        <v>370.389989566771</v>
      </c>
      <c r="N35" s="37" t="n">
        <f aca="false">N32*N27</f>
        <v>425.933274600225</v>
      </c>
      <c r="O35" s="37" t="n">
        <f aca="false">O32*O27</f>
        <v>507.540231500438</v>
      </c>
      <c r="P35" s="37" t="n">
        <f aca="false">P32*P27</f>
        <v>555.972702831976</v>
      </c>
      <c r="Q35" s="37" t="n">
        <f aca="false">Q32*Q27</f>
        <v>409.620155375723</v>
      </c>
      <c r="S35" s="37" t="n">
        <f aca="false">SUM(F35:I35)</f>
        <v>1782.004</v>
      </c>
      <c r="T35" s="37" t="n">
        <f aca="false">SUM(J35:M35)</f>
        <v>1753.71096414965</v>
      </c>
      <c r="U35" s="37" t="n">
        <f aca="false">SUM(N35:Q35)</f>
        <v>1899.06636430836</v>
      </c>
    </row>
    <row r="36" customFormat="false" ht="15" hidden="false" customHeight="false" outlineLevel="0" collapsed="false">
      <c r="B36" s="9" t="s">
        <v>378</v>
      </c>
      <c r="F36" s="37" t="n">
        <f aca="false">F33*F28</f>
        <v>138.858</v>
      </c>
      <c r="G36" s="37" t="n">
        <f aca="false">G33*G28</f>
        <v>187.684</v>
      </c>
      <c r="H36" s="37" t="n">
        <f aca="false">H33*H28</f>
        <v>222.002</v>
      </c>
      <c r="I36" s="37" t="n">
        <f aca="false">I33*I28</f>
        <v>140.18</v>
      </c>
      <c r="J36" s="37" t="n">
        <f aca="false">J33*J28</f>
        <v>151.868</v>
      </c>
      <c r="K36" s="37" t="n">
        <f aca="false">K33*K28</f>
        <v>191.446</v>
      </c>
      <c r="L36" s="37" t="n">
        <f aca="false">L33*L28</f>
        <v>239.117605099626</v>
      </c>
      <c r="M36" s="37" t="n">
        <f aca="false">M33*M28</f>
        <v>144.99047502255</v>
      </c>
      <c r="N36" s="37" t="n">
        <f aca="false">N33*N28</f>
        <v>160.871199673118</v>
      </c>
      <c r="O36" s="37" t="n">
        <f aca="false">O33*O28</f>
        <v>198.310222272423</v>
      </c>
      <c r="P36" s="37" t="n">
        <f aca="false">P33*P28</f>
        <v>263.2727757771</v>
      </c>
      <c r="Q36" s="37" t="n">
        <f aca="false">Q33*Q28</f>
        <v>160.726691620665</v>
      </c>
      <c r="S36" s="37" t="n">
        <f aca="false">SUM(F36:I36)</f>
        <v>688.724</v>
      </c>
      <c r="T36" s="37" t="n">
        <f aca="false">SUM(J36:M36)</f>
        <v>727.422080122176</v>
      </c>
      <c r="U36" s="37" t="n">
        <f aca="false">SUM(N36:Q36)</f>
        <v>783.180889343306</v>
      </c>
    </row>
    <row r="37" customFormat="false" ht="15" hidden="false" customHeight="false" outlineLevel="0" collapsed="false">
      <c r="B37" s="19" t="s">
        <v>231</v>
      </c>
      <c r="F37" s="85" t="n">
        <f aca="false">F34-F35-F36</f>
        <v>1593.352</v>
      </c>
      <c r="G37" s="85" t="n">
        <f aca="false">G34-G35-G36</f>
        <v>1841.978</v>
      </c>
      <c r="H37" s="85" t="n">
        <f aca="false">H34-H35-H36</f>
        <v>2194.159</v>
      </c>
      <c r="I37" s="85" t="n">
        <f aca="false">I34-I35-I36</f>
        <v>1727.375</v>
      </c>
      <c r="J37" s="85" t="n">
        <f aca="false">J34-J35-J36</f>
        <v>1781.748</v>
      </c>
      <c r="K37" s="85" t="n">
        <f aca="false">K34-K35-K36</f>
        <v>1964.43</v>
      </c>
      <c r="L37" s="85" t="n">
        <f aca="false">L34-L35-L36</f>
        <v>2138.94290101842</v>
      </c>
      <c r="M37" s="85" t="n">
        <f aca="false">M34-M35-M36</f>
        <v>1676.69318212763</v>
      </c>
      <c r="N37" s="85" t="n">
        <f aca="false">N34-N35-N36</f>
        <v>1821.75147956065</v>
      </c>
      <c r="O37" s="85" t="n">
        <f aca="false">O34-O35-O36</f>
        <v>1980.55100099549</v>
      </c>
      <c r="P37" s="85" t="n">
        <f aca="false">P34-P35-P36</f>
        <v>2307.57258347594</v>
      </c>
      <c r="Q37" s="85" t="n">
        <f aca="false">Q34-Q35-Q36</f>
        <v>1825.83816024794</v>
      </c>
      <c r="S37" s="85" t="n">
        <f aca="false">SUM(F37:I37)</f>
        <v>7356.864</v>
      </c>
      <c r="T37" s="85" t="n">
        <f aca="false">SUM(J37:M37)</f>
        <v>7561.81408314605</v>
      </c>
      <c r="U37" s="85" t="n">
        <f aca="false">SUM(N37:Q37)</f>
        <v>7935.71322428003</v>
      </c>
    </row>
    <row r="39" customFormat="false" ht="15" hidden="false" customHeight="false" outlineLevel="0" collapsed="false">
      <c r="B39" s="4" t="s">
        <v>379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customFormat="false" ht="15" hidden="false" customHeight="false" outlineLevel="0" collapsed="false">
      <c r="B40" s="9" t="s">
        <v>380</v>
      </c>
      <c r="L40" s="104" t="n">
        <v>-2.4</v>
      </c>
      <c r="M40" s="104" t="n">
        <v>-2.8</v>
      </c>
      <c r="N40" s="105" t="n">
        <f aca="false">N13+'KPI 2 Booking Build'!F26</f>
        <v>-2</v>
      </c>
      <c r="O40" s="105" t="n">
        <f aca="false">O13+'KPI 2 Booking Build'!G26</f>
        <v>-0.5</v>
      </c>
      <c r="P40" s="105" t="n">
        <f aca="false">P13+'KPI 2 Booking Build'!H26</f>
        <v>0.5</v>
      </c>
      <c r="Q40" s="105" t="n">
        <f aca="false">Q13+'KPI 2 Booking Build'!I26</f>
        <v>1</v>
      </c>
    </row>
    <row r="41" customFormat="false" ht="15" hidden="false" customHeight="false" outlineLevel="0" collapsed="false">
      <c r="B41" s="9" t="s">
        <v>381</v>
      </c>
      <c r="L41" s="87" t="n">
        <v>-0.1055</v>
      </c>
      <c r="M41" s="87" t="n">
        <v>-0.0433038559010782</v>
      </c>
      <c r="N41" s="106" t="n">
        <f aca="false">N14</f>
        <v>0.005</v>
      </c>
      <c r="O41" s="106" t="n">
        <f aca="false">O14</f>
        <v>0.005</v>
      </c>
      <c r="P41" s="106" t="n">
        <f aca="false">P14</f>
        <v>0.005</v>
      </c>
      <c r="Q41" s="106" t="n">
        <f aca="false">Q14</f>
        <v>0.005</v>
      </c>
    </row>
    <row r="42" customFormat="false" ht="15" hidden="false" customHeight="false" outlineLevel="0" collapsed="false">
      <c r="B42" s="9" t="s">
        <v>360</v>
      </c>
      <c r="L42" s="24" t="n">
        <f aca="false">'KPI 1 Price Build'!D39</f>
        <v>0</v>
      </c>
      <c r="M42" s="24" t="n">
        <f aca="false">'KPI 1 Price Build'!E39</f>
        <v>-0.0328961440989218</v>
      </c>
      <c r="N42" s="24" t="n">
        <f aca="false">'KPI 1 Price Build'!F39</f>
        <v>-0.0334077015052919</v>
      </c>
      <c r="O42" s="24" t="n">
        <f aca="false">'KPI 1 Price Build'!G39</f>
        <v>-0.0287358862783894</v>
      </c>
      <c r="P42" s="24" t="n">
        <f aca="false">'KPI 1 Price Build'!H39</f>
        <v>-0.00283584530556769</v>
      </c>
      <c r="Q42" s="24" t="n">
        <f aca="false">'KPI 1 Price Build'!I39</f>
        <v>-0.00609022323193613</v>
      </c>
    </row>
    <row r="43" customFormat="false" ht="15" hidden="false" customHeight="false" outlineLevel="0" collapsed="false">
      <c r="B43" s="9" t="s">
        <v>361</v>
      </c>
      <c r="L43" s="87" t="n">
        <v>0.005</v>
      </c>
      <c r="M43" s="87" t="n">
        <v>0.005</v>
      </c>
      <c r="N43" s="87" t="n">
        <v>0.01</v>
      </c>
      <c r="O43" s="87" t="n">
        <v>0.01</v>
      </c>
      <c r="P43" s="87" t="n">
        <v>0.01</v>
      </c>
      <c r="Q43" s="87" t="n">
        <v>0.01</v>
      </c>
    </row>
    <row r="44" customFormat="false" ht="15" hidden="false" customHeight="false" outlineLevel="0" collapsed="false">
      <c r="B44" s="9" t="s">
        <v>362</v>
      </c>
      <c r="L44" s="24" t="n">
        <f aca="false">'KPI 2 Booking Build'!D32</f>
        <v>-0</v>
      </c>
      <c r="M44" s="24" t="n">
        <f aca="false">'KPI 2 Booking Build'!E32</f>
        <v>-0</v>
      </c>
      <c r="N44" s="24" t="n">
        <f aca="false">'KPI 2 Booking Build'!F32</f>
        <v>-0</v>
      </c>
      <c r="O44" s="24" t="n">
        <f aca="false">'KPI 2 Booking Build'!G32</f>
        <v>-0</v>
      </c>
      <c r="P44" s="24" t="n">
        <f aca="false">'KPI 2 Booking Build'!H32</f>
        <v>-0.00657922881978437</v>
      </c>
      <c r="Q44" s="24" t="n">
        <f aca="false">'KPI 2 Booking Build'!I32</f>
        <v>-0.00657922881978437</v>
      </c>
    </row>
    <row r="45" customFormat="false" ht="15" hidden="false" customHeight="false" outlineLevel="0" collapsed="false">
      <c r="B45" s="9" t="s">
        <v>363</v>
      </c>
      <c r="L45" s="87" t="n">
        <v>0.04</v>
      </c>
      <c r="M45" s="87" t="n">
        <v>0.03</v>
      </c>
      <c r="N45" s="87" t="n">
        <v>0.02</v>
      </c>
      <c r="O45" s="87" t="n">
        <v>0.015</v>
      </c>
      <c r="P45" s="87" t="n">
        <v>0.02</v>
      </c>
      <c r="Q45" s="87" t="n">
        <v>0.02</v>
      </c>
    </row>
    <row r="46" customFormat="false" ht="15" hidden="false" customHeight="false" outlineLevel="0" collapsed="false">
      <c r="B46" s="9" t="s">
        <v>270</v>
      </c>
      <c r="F46" s="91" t="n">
        <f aca="false">'Quarterly (A)'!E29</f>
        <v>5.7006</v>
      </c>
      <c r="G46" s="91" t="n">
        <f aca="false">'Quarterly (A)'!F29</f>
        <v>6.0523</v>
      </c>
      <c r="H46" s="91" t="n">
        <f aca="false">'Quarterly (A)'!G29</f>
        <v>6.4176</v>
      </c>
      <c r="I46" s="91" t="n">
        <f aca="false">'Quarterly (A)'!H29</f>
        <v>6.2631</v>
      </c>
      <c r="J46" s="91" t="n">
        <f aca="false">'Quarterly (A)'!I29</f>
        <v>6.393</v>
      </c>
      <c r="K46" s="91" t="n">
        <f aca="false">'Quarterly (A)'!J29</f>
        <v>6.5897</v>
      </c>
      <c r="L46" s="92" t="n">
        <f aca="false">H46*(1+L$6)</f>
        <v>6.799896432</v>
      </c>
      <c r="M46" s="92" t="n">
        <f aca="false">I46*(1+M$6)</f>
        <v>6.46727706</v>
      </c>
      <c r="N46" s="92" t="n">
        <f aca="false">J46*(1+N$6)</f>
        <v>6.60665355500883</v>
      </c>
      <c r="O46" s="92" t="n">
        <f aca="false">K46*(1+O$6)</f>
        <v>6.59494572314846</v>
      </c>
      <c r="P46" s="92" t="n">
        <f aca="false">L46*(1+P$6)</f>
        <v>7.13078272311908</v>
      </c>
      <c r="Q46" s="92" t="n">
        <f aca="false">M46*(1+Q$6)</f>
        <v>6.78955111291595</v>
      </c>
      <c r="S46" s="92" t="n">
        <f aca="false">SUM(F46:I46)</f>
        <v>24.4336</v>
      </c>
      <c r="T46" s="92" t="n">
        <f aca="false">SUM(J46:M46)</f>
        <v>26.249873492</v>
      </c>
      <c r="U46" s="92" t="n">
        <f aca="false">SUM(N46:Q46)</f>
        <v>27.1219331141923</v>
      </c>
    </row>
    <row r="47" customFormat="false" ht="15" hidden="false" customHeight="false" outlineLevel="0" collapsed="false">
      <c r="B47" s="9" t="s">
        <v>58</v>
      </c>
      <c r="F47" s="24" t="n">
        <f aca="false">'Quarterly (A)'!E31</f>
        <v>1.01519138336316</v>
      </c>
      <c r="G47" s="24" t="n">
        <f aca="false">'Quarterly (A)'!F31</f>
        <v>1.03907605373164</v>
      </c>
      <c r="H47" s="24" t="n">
        <f aca="false">'Quarterly (A)'!G31</f>
        <v>1.06399588631264</v>
      </c>
      <c r="I47" s="24" t="n">
        <f aca="false">'Quarterly (A)'!H31</f>
        <v>1.01772285290032</v>
      </c>
      <c r="J47" s="24" t="n">
        <f aca="false">'Quarterly (A)'!I31</f>
        <v>1.0377756921633</v>
      </c>
      <c r="K47" s="24" t="n">
        <f aca="false">'Quarterly (A)'!J31</f>
        <v>1.02371883393781</v>
      </c>
      <c r="L47" s="11" t="n">
        <f aca="false">H47+L40/100</f>
        <v>1.03999588631264</v>
      </c>
      <c r="M47" s="11" t="n">
        <f aca="false">I47+M40/100</f>
        <v>0.989722852900321</v>
      </c>
      <c r="N47" s="11" t="n">
        <f aca="false">J47+N40/100</f>
        <v>1.0177756921633</v>
      </c>
      <c r="O47" s="11" t="n">
        <f aca="false">K47+O40/100</f>
        <v>1.01871883393781</v>
      </c>
      <c r="P47" s="11" t="n">
        <f aca="false">L47+P40/100</f>
        <v>1.04499588631264</v>
      </c>
      <c r="Q47" s="11" t="n">
        <f aca="false">M47+Q40/100</f>
        <v>0.999722852900321</v>
      </c>
      <c r="S47" s="11" t="n">
        <f aca="false">S48/S46</f>
        <v>1.03457533887761</v>
      </c>
      <c r="T47" s="11" t="n">
        <f aca="false">T48/T46</f>
        <v>1.02298307179026</v>
      </c>
      <c r="U47" s="11" t="n">
        <f aca="false">U48/U46</f>
        <v>1.02064239726635</v>
      </c>
    </row>
    <row r="48" customFormat="false" ht="15" hidden="false" customHeight="false" outlineLevel="0" collapsed="false">
      <c r="B48" s="9" t="s">
        <v>272</v>
      </c>
      <c r="F48" s="92" t="n">
        <f aca="false">F46*F47</f>
        <v>5.7872</v>
      </c>
      <c r="G48" s="92" t="n">
        <f aca="false">G46*G47</f>
        <v>6.2888</v>
      </c>
      <c r="H48" s="92" t="n">
        <f aca="false">H46*H47</f>
        <v>6.8283</v>
      </c>
      <c r="I48" s="92" t="n">
        <f aca="false">I46*I47</f>
        <v>6.3741</v>
      </c>
      <c r="J48" s="92" t="n">
        <f aca="false">J46*J47</f>
        <v>6.6345</v>
      </c>
      <c r="K48" s="92" t="n">
        <f aca="false">K46*K47</f>
        <v>6.746</v>
      </c>
      <c r="L48" s="92" t="n">
        <f aca="false">L46*L47</f>
        <v>7.071864316632</v>
      </c>
      <c r="M48" s="92" t="n">
        <f aca="false">M46*M47</f>
        <v>6.40081190232</v>
      </c>
      <c r="N48" s="92" t="n">
        <f aca="false">N46*N47</f>
        <v>6.72409139483226</v>
      </c>
      <c r="O48" s="92" t="n">
        <f aca="false">O46*O47</f>
        <v>6.71839541696896</v>
      </c>
      <c r="P48" s="92" t="n">
        <f aca="false">P46*P47</f>
        <v>7.45163861184869</v>
      </c>
      <c r="Q48" s="92" t="n">
        <f aca="false">Q46*Q47</f>
        <v>6.78766940851688</v>
      </c>
      <c r="S48" s="92" t="n">
        <f aca="false">SUM(F48:I48)</f>
        <v>25.2784</v>
      </c>
      <c r="T48" s="92" t="n">
        <f aca="false">SUM(J48:M48)</f>
        <v>26.853176218952</v>
      </c>
      <c r="U48" s="92" t="n">
        <f aca="false">SUM(N48:Q48)</f>
        <v>27.6817948321668</v>
      </c>
    </row>
    <row r="49" customFormat="false" ht="15" hidden="false" customHeight="false" outlineLevel="0" collapsed="false">
      <c r="B49" s="9" t="s">
        <v>364</v>
      </c>
      <c r="L49" s="11" t="n">
        <f aca="false">L41</f>
        <v>-0.1055</v>
      </c>
      <c r="M49" s="11" t="n">
        <f aca="false">M41</f>
        <v>-0.0433038559010782</v>
      </c>
      <c r="N49" s="11" t="n">
        <f aca="false">N41</f>
        <v>0.005</v>
      </c>
      <c r="O49" s="11" t="n">
        <f aca="false">O41</f>
        <v>0.005</v>
      </c>
      <c r="P49" s="11" t="n">
        <f aca="false">P41</f>
        <v>0.005</v>
      </c>
      <c r="Q49" s="11" t="n">
        <f aca="false">Q41</f>
        <v>0.005</v>
      </c>
    </row>
    <row r="50" customFormat="false" ht="15" hidden="false" customHeight="false" outlineLevel="0" collapsed="false">
      <c r="B50" s="9" t="s">
        <v>365</v>
      </c>
      <c r="L50" s="11" t="n">
        <f aca="false">L42+L44</f>
        <v>0</v>
      </c>
      <c r="M50" s="11" t="n">
        <f aca="false">M42+M44</f>
        <v>-0.0328961440989218</v>
      </c>
      <c r="N50" s="11" t="n">
        <f aca="false">N42+N44</f>
        <v>-0.0334077015052919</v>
      </c>
      <c r="O50" s="11" t="n">
        <f aca="false">O42+O44</f>
        <v>-0.0287358862783894</v>
      </c>
      <c r="P50" s="11" t="n">
        <f aca="false">P42+P44</f>
        <v>-0.00941507412535205</v>
      </c>
      <c r="Q50" s="11" t="n">
        <f aca="false">Q42+Q44</f>
        <v>-0.0126694520517205</v>
      </c>
    </row>
    <row r="51" customFormat="false" ht="15" hidden="false" customHeight="false" outlineLevel="0" collapsed="false">
      <c r="B51" s="19" t="s">
        <v>366</v>
      </c>
      <c r="L51" s="88" t="n">
        <f aca="false">L49+L50</f>
        <v>-0.1055</v>
      </c>
      <c r="M51" s="88" t="n">
        <f aca="false">M49+M50</f>
        <v>-0.0762</v>
      </c>
      <c r="N51" s="88" t="n">
        <f aca="false">N49+N50</f>
        <v>-0.0284077015052919</v>
      </c>
      <c r="O51" s="88" t="n">
        <f aca="false">O49+O50</f>
        <v>-0.0237358862783894</v>
      </c>
      <c r="P51" s="88" t="n">
        <f aca="false">P49+P50</f>
        <v>-0.00441507412535205</v>
      </c>
      <c r="Q51" s="88" t="n">
        <f aca="false">Q49+Q50</f>
        <v>-0.00766945205172049</v>
      </c>
    </row>
    <row r="52" customFormat="false" ht="15" hidden="false" customHeight="false" outlineLevel="0" collapsed="false">
      <c r="B52" s="9" t="s">
        <v>367</v>
      </c>
      <c r="F52" s="26" t="n">
        <f aca="false">'Quarterly (A)'!E34</f>
        <v>245.141692009953</v>
      </c>
      <c r="G52" s="26" t="n">
        <f aca="false">'Quarterly (A)'!F34</f>
        <v>271.750572446254</v>
      </c>
      <c r="H52" s="26" t="n">
        <f aca="false">'Quarterly (A)'!G34</f>
        <v>300.215134074367</v>
      </c>
      <c r="I52" s="26" t="n">
        <f aca="false">'Quarterly (A)'!H34</f>
        <v>236.902307776784</v>
      </c>
      <c r="J52" s="26" t="n">
        <f aca="false">'Quarterly (A)'!I34</f>
        <v>232.46981686638</v>
      </c>
      <c r="K52" s="26" t="n">
        <f aca="false">'Quarterly (A)'!J34</f>
        <v>256.424251408242</v>
      </c>
      <c r="L52" s="38" t="n">
        <f aca="false">H52*(1+L51+L43+'KPI 2 Booking Build'!D52)</f>
        <v>270.043513099893</v>
      </c>
      <c r="M52" s="38" t="n">
        <f aca="false">I52*(1+M51+M43+'KPI 2 Booking Build'!E52)</f>
        <v>220.034863463077</v>
      </c>
      <c r="N52" s="38" t="n">
        <f aca="false">J52*(1+N51+N43+'KPI 2 Booking Build'!F52)</f>
        <v>228.190581868514</v>
      </c>
      <c r="O52" s="38" t="n">
        <f aca="false">K52*(1+O51+O43+'KPI 2 Booking Build'!G52)</f>
        <v>252.902037051877</v>
      </c>
      <c r="P52" s="38" t="n">
        <f aca="false">L52*(1+P51+P43+'KPI 2 Booking Build'!H52)</f>
        <v>271.551686103486</v>
      </c>
      <c r="Q52" s="38" t="n">
        <f aca="false">M52*(1+Q51+Q43+'KPI 2 Booking Build'!I52)</f>
        <v>220.547665262671</v>
      </c>
      <c r="S52" s="38" t="n">
        <f aca="false">S59/S48</f>
        <v>264.56053389455</v>
      </c>
      <c r="T52" s="38" t="n">
        <f aca="false">T59/T48</f>
        <v>245.418709633229</v>
      </c>
      <c r="U52" s="38" t="n">
        <f aca="false">U59/U48</f>
        <v>243.986342845502</v>
      </c>
    </row>
    <row r="53" customFormat="false" ht="15" hidden="false" customHeight="false" outlineLevel="0" collapsed="false">
      <c r="B53" s="9" t="s">
        <v>368</v>
      </c>
      <c r="F53" s="26" t="n">
        <f aca="false">'Quarterly (A)'!E35</f>
        <v>122.489113906552</v>
      </c>
      <c r="G53" s="26" t="n">
        <f aca="false">'Quarterly (A)'!F35</f>
        <v>128.563795954713</v>
      </c>
      <c r="H53" s="26" t="n">
        <f aca="false">'Quarterly (A)'!G35</f>
        <v>130.07381046527</v>
      </c>
      <c r="I53" s="26" t="n">
        <f aca="false">'Quarterly (A)'!H35</f>
        <v>115.210147314915</v>
      </c>
      <c r="J53" s="26" t="n">
        <f aca="false">'Quarterly (A)'!I35</f>
        <v>118.90873464466</v>
      </c>
      <c r="K53" s="26" t="n">
        <f aca="false">'Quarterly (A)'!J35</f>
        <v>134.999407056033</v>
      </c>
      <c r="L53" s="38" t="n">
        <f aca="false">H53*(1+L45)</f>
        <v>135.27676288388</v>
      </c>
      <c r="M53" s="38" t="n">
        <f aca="false">I53*(1+M45)</f>
        <v>118.666451734362</v>
      </c>
      <c r="N53" s="38" t="n">
        <f aca="false">J53*(1+N45)</f>
        <v>121.286909337554</v>
      </c>
      <c r="O53" s="38" t="n">
        <f aca="false">K53*(1+O45)</f>
        <v>137.024398161874</v>
      </c>
      <c r="P53" s="38" t="n">
        <f aca="false">L53*(1+P45)</f>
        <v>137.982298141558</v>
      </c>
      <c r="Q53" s="38" t="n">
        <f aca="false">M53*(1+Q45)</f>
        <v>121.03978076905</v>
      </c>
      <c r="S53" s="38" t="n">
        <f aca="false">S60/S48</f>
        <v>124.213755617444</v>
      </c>
      <c r="T53" s="38" t="n">
        <f aca="false">T60/T48</f>
        <v>127.203818316458</v>
      </c>
      <c r="U53" s="38" t="n">
        <f aca="false">U60/U48</f>
        <v>129.540032048866</v>
      </c>
    </row>
    <row r="54" customFormat="false" ht="15" hidden="false" customHeight="false" outlineLevel="0" collapsed="false">
      <c r="B54" s="9" t="s">
        <v>369</v>
      </c>
      <c r="F54" s="24" t="n">
        <f aca="false">'Quarterly (A)'!E36</f>
        <v>0.278668822655362</v>
      </c>
      <c r="G54" s="24" t="n">
        <f aca="false">'Quarterly (A)'!F36</f>
        <v>0.285453061320023</v>
      </c>
      <c r="H54" s="24" t="n">
        <f aca="false">'Quarterly (A)'!G36</f>
        <v>0.254629970648193</v>
      </c>
      <c r="I54" s="24" t="n">
        <f aca="false">'Quarterly (A)'!H36</f>
        <v>0.249559779581852</v>
      </c>
      <c r="J54" s="24" t="n">
        <f aca="false">'Quarterly (A)'!I36</f>
        <v>0.257796528738181</v>
      </c>
      <c r="K54" s="24" t="n">
        <f aca="false">'Quarterly (A)'!J36</f>
        <v>0.280181149911148</v>
      </c>
      <c r="L54" s="11" t="n">
        <f aca="false">H54+L$10</f>
        <v>0.260629970648193</v>
      </c>
      <c r="M54" s="11" t="n">
        <f aca="false">I54+M$10</f>
        <v>0.258559779581852</v>
      </c>
      <c r="N54" s="11" t="n">
        <f aca="false">J54+N$10</f>
        <v>0.270797028738181</v>
      </c>
      <c r="O54" s="11" t="n">
        <f aca="false">K54+O$10</f>
        <v>0.291180649911148</v>
      </c>
      <c r="P54" s="11" t="n">
        <f aca="false">L54+P$10</f>
        <v>0.268129970648193</v>
      </c>
      <c r="Q54" s="11" t="n">
        <f aca="false">M54+Q$10</f>
        <v>0.263559279581852</v>
      </c>
      <c r="S54" s="11" t="n">
        <f aca="false">S62/S59</f>
        <v>0.266461233790498</v>
      </c>
      <c r="T54" s="11" t="n">
        <f aca="false">T62/T59</f>
        <v>0.264656304565892</v>
      </c>
      <c r="U54" s="11" t="n">
        <f aca="false">U62/U59</f>
        <v>0.273521641140347</v>
      </c>
    </row>
    <row r="55" customFormat="false" ht="15" hidden="false" customHeight="false" outlineLevel="0" collapsed="false">
      <c r="B55" s="9" t="s">
        <v>370</v>
      </c>
      <c r="F55" s="24" t="n">
        <f aca="false">'Quarterly (A)'!E37</f>
        <v>0.195886687102977</v>
      </c>
      <c r="G55" s="24" t="n">
        <f aca="false">'Quarterly (A)'!F37</f>
        <v>0.232135082719861</v>
      </c>
      <c r="H55" s="24" t="n">
        <f aca="false">'Quarterly (A)'!G37</f>
        <v>0.249950742133096</v>
      </c>
      <c r="I55" s="24" t="n">
        <f aca="false">'Quarterly (A)'!H37</f>
        <v>0.190887043293421</v>
      </c>
      <c r="J55" s="24" t="n">
        <f aca="false">'Quarterly (A)'!I37</f>
        <v>0.192506021041957</v>
      </c>
      <c r="K55" s="24" t="n">
        <f aca="false">'Quarterly (A)'!J37</f>
        <v>0.210217128249951</v>
      </c>
      <c r="L55" s="11" t="n">
        <f aca="false">H55</f>
        <v>0.249950742133096</v>
      </c>
      <c r="M55" s="11" t="n">
        <f aca="false">I55</f>
        <v>0.190887043293421</v>
      </c>
      <c r="N55" s="11" t="n">
        <f aca="false">J55</f>
        <v>0.192506021041957</v>
      </c>
      <c r="O55" s="11" t="n">
        <f aca="false">K55</f>
        <v>0.210217128249951</v>
      </c>
      <c r="P55" s="11" t="n">
        <f aca="false">L55</f>
        <v>0.249950742133096</v>
      </c>
      <c r="Q55" s="11" t="n">
        <f aca="false">M55</f>
        <v>0.190887043293421</v>
      </c>
      <c r="S55" s="11" t="n">
        <f aca="false">S63/S60</f>
        <v>0.219344092613677</v>
      </c>
      <c r="T55" s="11" t="n">
        <f aca="false">T63/T60</f>
        <v>0.212956386892763</v>
      </c>
      <c r="U55" s="11" t="n">
        <f aca="false">U63/U60</f>
        <v>0.213153212824168</v>
      </c>
    </row>
    <row r="56" customFormat="false" ht="15" hidden="false" customHeight="false" outlineLevel="0" collapsed="false">
      <c r="B56" s="19" t="s">
        <v>371</v>
      </c>
      <c r="F56" s="94" t="n">
        <f aca="false">F52+F53-F52*F54-F53*F55</f>
        <v>275.323472491015</v>
      </c>
      <c r="G56" s="94" t="n">
        <f aca="false">G52+G53-G52*G54-G53*G55</f>
        <v>292.898168171988</v>
      </c>
      <c r="H56" s="94" t="n">
        <f aca="false">H52+H53-H52*H54-H53*H55</f>
        <v>321.333128304263</v>
      </c>
      <c r="I56" s="94" t="n">
        <f aca="false">I52+I53-I52*I54-I53*I55</f>
        <v>270.999043002149</v>
      </c>
      <c r="J56" s="94" t="n">
        <f aca="false">J52+J53-J52*J54-J53*J55</f>
        <v>268.55799231291</v>
      </c>
      <c r="K56" s="94" t="n">
        <f aca="false">K52+K53-K52*K54-K53*K55</f>
        <v>291.199229172843</v>
      </c>
      <c r="L56" s="94" t="n">
        <f aca="false">L52+L53-L52*L54-L53*L55</f>
        <v>301.126315814625</v>
      </c>
      <c r="M56" s="94" t="n">
        <f aca="false">M52+M53-M52*M54-M53*M55</f>
        <v>259.15726129041</v>
      </c>
      <c r="N56" s="94" t="n">
        <f aca="false">N52+N53-N52*N54-N53*N55</f>
        <v>264.335699328988</v>
      </c>
      <c r="O56" s="94" t="n">
        <f aca="false">O52+O53-O52*O54-O53*O55</f>
        <v>287.481380219365</v>
      </c>
      <c r="P56" s="94" t="n">
        <f aca="false">P52+P53-P52*P54-P53*P55</f>
        <v>302.234060798936</v>
      </c>
      <c r="Q56" s="94" t="n">
        <f aca="false">Q52+Q53-Q52*Q54-Q53*Q55</f>
        <v>260.355136389744</v>
      </c>
      <c r="S56" s="38" t="n">
        <f aca="false">S64/S48</f>
        <v>291.033609722134</v>
      </c>
      <c r="T56" s="38" t="n">
        <f aca="false">T64/T48</f>
        <v>280.58205363919</v>
      </c>
      <c r="U56" s="38" t="n">
        <f aca="false">U64/U48</f>
        <v>279.178955962874</v>
      </c>
    </row>
    <row r="57" customFormat="false" ht="15" hidden="false" customHeight="false" outlineLevel="0" collapsed="false">
      <c r="B57" s="19" t="s">
        <v>372</v>
      </c>
      <c r="F57" s="94" t="n">
        <f aca="false">F56*F47</f>
        <v>279.506016910501</v>
      </c>
      <c r="G57" s="94" t="n">
        <f aca="false">G56*G47</f>
        <v>304.343472729376</v>
      </c>
      <c r="H57" s="94" t="n">
        <f aca="false">H56*H47</f>
        <v>341.897126651708</v>
      </c>
      <c r="I57" s="94" t="n">
        <f aca="false">I56*I47</f>
        <v>275.801919177404</v>
      </c>
      <c r="J57" s="94" t="n">
        <f aca="false">J56*J47</f>
        <v>278.702956358517</v>
      </c>
      <c r="K57" s="94" t="n">
        <f aca="false">K56*K47</f>
        <v>298.106135332413</v>
      </c>
      <c r="L57" s="94" t="n">
        <f aca="false">L56*L47</f>
        <v>313.170129707691</v>
      </c>
      <c r="M57" s="94" t="n">
        <f aca="false">M56*M47</f>
        <v>256.493863994178</v>
      </c>
      <c r="N57" s="94" t="n">
        <f aca="false">N56*N47</f>
        <v>269.034449348032</v>
      </c>
      <c r="O57" s="94" t="n">
        <f aca="false">O56*O47</f>
        <v>292.862696435905</v>
      </c>
      <c r="P57" s="94" t="n">
        <f aca="false">P56*P47</f>
        <v>315.833350238453</v>
      </c>
      <c r="Q57" s="94" t="n">
        <f aca="false">Q56*Q47</f>
        <v>260.282979718807</v>
      </c>
      <c r="S57" s="94" t="n">
        <f aca="false">S64/S46</f>
        <v>301.096195403052</v>
      </c>
      <c r="T57" s="94" t="n">
        <f aca="false">T64/T46</f>
        <v>287.030691121039</v>
      </c>
      <c r="U57" s="94" t="n">
        <f aca="false">U64/U46</f>
        <v>284.941878880263</v>
      </c>
    </row>
    <row r="58" customFormat="false" ht="15" hidden="false" customHeight="false" outlineLevel="0" collapsed="false">
      <c r="B58" s="9" t="s">
        <v>373</v>
      </c>
      <c r="J58" s="11" t="n">
        <f aca="false">J57/F57-1</f>
        <v>-0.00287314227028157</v>
      </c>
      <c r="K58" s="11" t="n">
        <f aca="false">K57/G57-1</f>
        <v>-0.0204944017396722</v>
      </c>
      <c r="L58" s="11" t="n">
        <f aca="false">L57/H57-1</f>
        <v>-0.0840223409460876</v>
      </c>
      <c r="M58" s="11" t="n">
        <f aca="false">M57/I57-1</f>
        <v>-0.0700069645665031</v>
      </c>
      <c r="N58" s="11" t="n">
        <f aca="false">N57/J57-1</f>
        <v>-0.0346910816333347</v>
      </c>
      <c r="O58" s="11" t="n">
        <f aca="false">O57/K57-1</f>
        <v>-0.0175891680010589</v>
      </c>
      <c r="P58" s="11" t="n">
        <f aca="false">P57/L57-1</f>
        <v>0.00850406944381232</v>
      </c>
      <c r="Q58" s="11" t="n">
        <f aca="false">Q57/M57-1</f>
        <v>0.0147727343867956</v>
      </c>
      <c r="S58" s="11" t="n">
        <f aca="false">S57/'Quarterly (A)'!L32-1</f>
        <v>0.0229928520847233</v>
      </c>
      <c r="T58" s="88" t="n">
        <f aca="false">T57/S57-1</f>
        <v>-0.0467143208607601</v>
      </c>
      <c r="U58" s="88" t="n">
        <f aca="false">U57/T57-1</f>
        <v>-0.00727731321210889</v>
      </c>
    </row>
    <row r="59" customFormat="false" ht="15" hidden="false" customHeight="false" outlineLevel="0" collapsed="false">
      <c r="B59" s="9" t="s">
        <v>374</v>
      </c>
      <c r="F59" s="37" t="n">
        <f aca="false">F52*F48</f>
        <v>1418.684</v>
      </c>
      <c r="G59" s="37" t="n">
        <f aca="false">G52*G48</f>
        <v>1708.985</v>
      </c>
      <c r="H59" s="37" t="n">
        <f aca="false">H52*H48</f>
        <v>2049.959</v>
      </c>
      <c r="I59" s="37" t="n">
        <f aca="false">I52*I48</f>
        <v>1510.039</v>
      </c>
      <c r="J59" s="37" t="n">
        <f aca="false">J52*J48</f>
        <v>1542.321</v>
      </c>
      <c r="K59" s="37" t="n">
        <f aca="false">K52*K48</f>
        <v>1729.838</v>
      </c>
      <c r="L59" s="37" t="n">
        <f aca="false">L52*L48</f>
        <v>1909.71108422908</v>
      </c>
      <c r="M59" s="37" t="n">
        <f aca="false">M52*M48</f>
        <v>1408.40177297982</v>
      </c>
      <c r="N59" s="37" t="n">
        <f aca="false">N52*N48</f>
        <v>1534.37432792384</v>
      </c>
      <c r="O59" s="37" t="n">
        <f aca="false">O52*O48</f>
        <v>1699.09588667145</v>
      </c>
      <c r="P59" s="37" t="n">
        <f aca="false">P52*P48</f>
        <v>2023.50502928135</v>
      </c>
      <c r="Q59" s="37" t="n">
        <f aca="false">Q52*Q48</f>
        <v>1497.00464062325</v>
      </c>
      <c r="S59" s="37" t="n">
        <f aca="false">SUM(F59:I59)</f>
        <v>6687.667</v>
      </c>
      <c r="T59" s="37" t="n">
        <f aca="false">SUM(J59:M59)</f>
        <v>6590.2718572089</v>
      </c>
      <c r="U59" s="37" t="n">
        <f aca="false">SUM(N59:Q59)</f>
        <v>6753.97988449989</v>
      </c>
    </row>
    <row r="60" customFormat="false" ht="15" hidden="false" customHeight="false" outlineLevel="0" collapsed="false">
      <c r="B60" s="9" t="s">
        <v>375</v>
      </c>
      <c r="F60" s="37" t="n">
        <f aca="false">F53*F48</f>
        <v>708.869</v>
      </c>
      <c r="G60" s="37" t="n">
        <f aca="false">G53*G48</f>
        <v>808.512</v>
      </c>
      <c r="H60" s="37" t="n">
        <f aca="false">H53*H48</f>
        <v>888.183</v>
      </c>
      <c r="I60" s="37" t="n">
        <f aca="false">I53*I48</f>
        <v>734.361</v>
      </c>
      <c r="J60" s="37" t="n">
        <f aca="false">J53*J48</f>
        <v>788.9</v>
      </c>
      <c r="K60" s="37" t="n">
        <f aca="false">K53*K48</f>
        <v>910.706</v>
      </c>
      <c r="L60" s="37" t="n">
        <f aca="false">L53*L48</f>
        <v>956.658912308001</v>
      </c>
      <c r="M60" s="37" t="n">
        <f aca="false">M53*M48</f>
        <v>759.561636667389</v>
      </c>
      <c r="N60" s="37" t="n">
        <f aca="false">N53*N48</f>
        <v>815.544263382446</v>
      </c>
      <c r="O60" s="37" t="n">
        <f aca="false">O53*O48</f>
        <v>920.584088623662</v>
      </c>
      <c r="P60" s="37" t="n">
        <f aca="false">P53*P48</f>
        <v>1028.19422058325</v>
      </c>
      <c r="Q60" s="37" t="n">
        <f aca="false">Q53*Q48</f>
        <v>821.578017139669</v>
      </c>
      <c r="S60" s="37" t="n">
        <f aca="false">SUM(F60:I60)</f>
        <v>3139.925</v>
      </c>
      <c r="T60" s="37" t="n">
        <f aca="false">SUM(J60:M60)</f>
        <v>3415.82654897539</v>
      </c>
      <c r="U60" s="37" t="n">
        <f aca="false">SUM(N60:Q60)</f>
        <v>3585.90058972903</v>
      </c>
    </row>
    <row r="61" customFormat="false" ht="15" hidden="false" customHeight="false" outlineLevel="0" collapsed="false">
      <c r="B61" s="9" t="s">
        <v>376</v>
      </c>
      <c r="F61" s="37" t="n">
        <f aca="false">F59+F60</f>
        <v>2127.553</v>
      </c>
      <c r="G61" s="37" t="n">
        <f aca="false">G59+G60</f>
        <v>2517.497</v>
      </c>
      <c r="H61" s="37" t="n">
        <f aca="false">H59+H60</f>
        <v>2938.142</v>
      </c>
      <c r="I61" s="37" t="n">
        <f aca="false">I59+I60</f>
        <v>2244.4</v>
      </c>
      <c r="J61" s="37" t="n">
        <f aca="false">J59+J60</f>
        <v>2331.221</v>
      </c>
      <c r="K61" s="37" t="n">
        <f aca="false">K59+K60</f>
        <v>2640.544</v>
      </c>
      <c r="L61" s="37" t="n">
        <f aca="false">L59+L60</f>
        <v>2866.36999653708</v>
      </c>
      <c r="M61" s="37" t="n">
        <f aca="false">M59+M60</f>
        <v>2167.96340964721</v>
      </c>
      <c r="N61" s="37" t="n">
        <f aca="false">N59+N60</f>
        <v>2349.91859130629</v>
      </c>
      <c r="O61" s="37" t="n">
        <f aca="false">O59+O60</f>
        <v>2619.67997529511</v>
      </c>
      <c r="P61" s="37" t="n">
        <f aca="false">P59+P60</f>
        <v>3051.6992498646</v>
      </c>
      <c r="Q61" s="37" t="n">
        <f aca="false">Q59+Q60</f>
        <v>2318.58265776292</v>
      </c>
      <c r="S61" s="37" t="n">
        <f aca="false">SUM(F61:I61)</f>
        <v>9827.592</v>
      </c>
      <c r="T61" s="37" t="n">
        <f aca="false">SUM(J61:M61)</f>
        <v>10006.0984061843</v>
      </c>
      <c r="U61" s="37" t="n">
        <f aca="false">SUM(N61:Q61)</f>
        <v>10339.8804742289</v>
      </c>
    </row>
    <row r="62" customFormat="false" ht="15" hidden="false" customHeight="false" outlineLevel="0" collapsed="false">
      <c r="B62" s="9" t="s">
        <v>377</v>
      </c>
      <c r="F62" s="37" t="n">
        <f aca="false">F59*F54</f>
        <v>395.343</v>
      </c>
      <c r="G62" s="37" t="n">
        <f aca="false">G59*G54</f>
        <v>487.835</v>
      </c>
      <c r="H62" s="37" t="n">
        <f aca="false">H59*H54</f>
        <v>521.981</v>
      </c>
      <c r="I62" s="37" t="n">
        <f aca="false">I59*I54</f>
        <v>376.845</v>
      </c>
      <c r="J62" s="37" t="n">
        <f aca="false">J59*J54</f>
        <v>397.605</v>
      </c>
      <c r="K62" s="37" t="n">
        <f aca="false">K59*K54</f>
        <v>484.668</v>
      </c>
      <c r="L62" s="37" t="n">
        <f aca="false">L59*L54</f>
        <v>497.727943829155</v>
      </c>
      <c r="M62" s="37" t="n">
        <f aca="false">M59*M54</f>
        <v>364.156051984352</v>
      </c>
      <c r="N62" s="37" t="n">
        <f aca="false">N59*N54</f>
        <v>415.50400897392</v>
      </c>
      <c r="O62" s="37" t="n">
        <f aca="false">O59*O54</f>
        <v>494.74384454235</v>
      </c>
      <c r="P62" s="37" t="n">
        <f aca="false">P59*P54</f>
        <v>542.562344107679</v>
      </c>
      <c r="Q62" s="37" t="n">
        <f aca="false">Q59*Q54</f>
        <v>394.549464613354</v>
      </c>
      <c r="S62" s="37" t="n">
        <f aca="false">SUM(F62:I62)</f>
        <v>1782.004</v>
      </c>
      <c r="T62" s="37" t="n">
        <f aca="false">SUM(J62:M62)</f>
        <v>1744.15699581351</v>
      </c>
      <c r="U62" s="37" t="n">
        <f aca="false">SUM(N62:Q62)</f>
        <v>1847.3596622373</v>
      </c>
    </row>
    <row r="63" customFormat="false" ht="15" hidden="false" customHeight="false" outlineLevel="0" collapsed="false">
      <c r="B63" s="9" t="s">
        <v>378</v>
      </c>
      <c r="F63" s="37" t="n">
        <f aca="false">F60*F55</f>
        <v>138.858</v>
      </c>
      <c r="G63" s="37" t="n">
        <f aca="false">G60*G55</f>
        <v>187.684</v>
      </c>
      <c r="H63" s="37" t="n">
        <f aca="false">H60*H55</f>
        <v>222.002</v>
      </c>
      <c r="I63" s="37" t="n">
        <f aca="false">I60*I55</f>
        <v>140.18</v>
      </c>
      <c r="J63" s="37" t="n">
        <f aca="false">J60*J55</f>
        <v>151.868</v>
      </c>
      <c r="K63" s="37" t="n">
        <f aca="false">K60*K55</f>
        <v>191.446</v>
      </c>
      <c r="L63" s="37" t="n">
        <f aca="false">L60*L55</f>
        <v>239.117605099626</v>
      </c>
      <c r="M63" s="37" t="n">
        <f aca="false">M60*M55</f>
        <v>144.99047502255</v>
      </c>
      <c r="N63" s="37" t="n">
        <f aca="false">N60*N55</f>
        <v>156.997181127349</v>
      </c>
      <c r="O63" s="37" t="n">
        <f aca="false">O60*O55</f>
        <v>193.522543423065</v>
      </c>
      <c r="P63" s="37" t="n">
        <f aca="false">P60*P55</f>
        <v>256.997908491744</v>
      </c>
      <c r="Q63" s="37" t="n">
        <f aca="false">Q60*Q55</f>
        <v>156.828598526663</v>
      </c>
      <c r="S63" s="37" t="n">
        <f aca="false">SUM(F63:I63)</f>
        <v>688.724</v>
      </c>
      <c r="T63" s="37" t="n">
        <f aca="false">SUM(J63:M63)</f>
        <v>727.422080122176</v>
      </c>
      <c r="U63" s="37" t="n">
        <f aca="false">SUM(N63:Q63)</f>
        <v>764.346231568821</v>
      </c>
    </row>
    <row r="64" customFormat="false" ht="15" hidden="false" customHeight="false" outlineLevel="0" collapsed="false">
      <c r="B64" s="19" t="s">
        <v>231</v>
      </c>
      <c r="F64" s="85" t="n">
        <f aca="false">F61-F62-F63</f>
        <v>1593.352</v>
      </c>
      <c r="G64" s="85" t="n">
        <f aca="false">G61-G62-G63</f>
        <v>1841.978</v>
      </c>
      <c r="H64" s="85" t="n">
        <f aca="false">H61-H62-H63</f>
        <v>2194.159</v>
      </c>
      <c r="I64" s="85" t="n">
        <f aca="false">I61-I62-I63</f>
        <v>1727.375</v>
      </c>
      <c r="J64" s="85" t="n">
        <f aca="false">J61-J62-J63</f>
        <v>1781.748</v>
      </c>
      <c r="K64" s="85" t="n">
        <f aca="false">K61-K62-K63</f>
        <v>1964.43</v>
      </c>
      <c r="L64" s="85" t="n">
        <f aca="false">L61-L62-L63</f>
        <v>2129.5244476083</v>
      </c>
      <c r="M64" s="85" t="n">
        <f aca="false">M61-M62-M63</f>
        <v>1658.81688264031</v>
      </c>
      <c r="N64" s="85" t="n">
        <f aca="false">N61-N62-N63</f>
        <v>1777.41740120502</v>
      </c>
      <c r="O64" s="85" t="n">
        <f aca="false">O61-O62-O63</f>
        <v>1931.41358732969</v>
      </c>
      <c r="P64" s="85" t="n">
        <f aca="false">P61-P62-P63</f>
        <v>2252.13899726518</v>
      </c>
      <c r="Q64" s="85" t="n">
        <f aca="false">Q61-Q62-Q63</f>
        <v>1767.20459462291</v>
      </c>
      <c r="S64" s="85" t="n">
        <f aca="false">SUM(F64:I64)</f>
        <v>7356.864</v>
      </c>
      <c r="T64" s="85" t="n">
        <f aca="false">SUM(J64:M64)</f>
        <v>7534.51933024861</v>
      </c>
      <c r="U64" s="85" t="n">
        <f aca="false">SUM(N64:Q64)</f>
        <v>7728.1745804228</v>
      </c>
    </row>
    <row r="66" customFormat="false" ht="15" hidden="false" customHeight="false" outlineLevel="0" collapsed="false">
      <c r="B66" s="4" t="s">
        <v>382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customFormat="false" ht="15" hidden="false" customHeight="false" outlineLevel="0" collapsed="false">
      <c r="B67" s="9" t="s">
        <v>380</v>
      </c>
      <c r="L67" s="104" t="n">
        <v>-2.4</v>
      </c>
      <c r="M67" s="104" t="n">
        <v>-2.8</v>
      </c>
      <c r="N67" s="105" t="n">
        <f aca="false">N13+'KPI 2 Booking Build'!F27</f>
        <v>-2.6</v>
      </c>
      <c r="O67" s="105" t="n">
        <f aca="false">O13+'KPI 2 Booking Build'!G27</f>
        <v>-1.1</v>
      </c>
      <c r="P67" s="105" t="n">
        <f aca="false">P13+'KPI 2 Booking Build'!H27</f>
        <v>-0.1</v>
      </c>
      <c r="Q67" s="105" t="n">
        <f aca="false">Q13+'KPI 2 Booking Build'!I27</f>
        <v>0.4</v>
      </c>
    </row>
    <row r="68" customFormat="false" ht="15" hidden="false" customHeight="false" outlineLevel="0" collapsed="false">
      <c r="B68" s="9" t="s">
        <v>359</v>
      </c>
      <c r="L68" s="87" t="n">
        <v>-0.1129</v>
      </c>
      <c r="M68" s="87" t="n">
        <v>-0.0542194342862399</v>
      </c>
      <c r="N68" s="87" t="n">
        <v>-0.005</v>
      </c>
      <c r="O68" s="87" t="n">
        <v>-0.005</v>
      </c>
      <c r="P68" s="87" t="n">
        <v>-0.005</v>
      </c>
      <c r="Q68" s="87" t="n">
        <v>-0.005</v>
      </c>
    </row>
    <row r="69" customFormat="false" ht="15" hidden="false" customHeight="false" outlineLevel="0" collapsed="false">
      <c r="B69" s="9" t="s">
        <v>360</v>
      </c>
      <c r="L69" s="103" t="n">
        <f aca="false">'KPI 1 Price Build'!D41</f>
        <v>0</v>
      </c>
      <c r="M69" s="103" t="n">
        <f aca="false">'KPI 1 Price Build'!E41</f>
        <v>-0.0378305657137601</v>
      </c>
      <c r="N69" s="103" t="n">
        <f aca="false">'KPI 1 Price Build'!F41</f>
        <v>-0.0356348816056447</v>
      </c>
      <c r="O69" s="103" t="n">
        <f aca="false">'KPI 1 Price Build'!G41</f>
        <v>-0.0303032982572106</v>
      </c>
      <c r="P69" s="103" t="n">
        <f aca="false">'KPI 1 Price Build'!H41</f>
        <v>-0.00767926463158554</v>
      </c>
      <c r="Q69" s="103" t="n">
        <f aca="false">'KPI 1 Price Build'!I41</f>
        <v>-0.0203817214482095</v>
      </c>
    </row>
    <row r="70" customFormat="false" ht="15" hidden="false" customHeight="false" outlineLevel="0" collapsed="false">
      <c r="B70" s="9" t="s">
        <v>361</v>
      </c>
      <c r="L70" s="87" t="n">
        <v>0.005</v>
      </c>
      <c r="M70" s="87" t="n">
        <v>0.005</v>
      </c>
      <c r="N70" s="87" t="n">
        <v>0.01</v>
      </c>
      <c r="O70" s="87" t="n">
        <v>0.01</v>
      </c>
      <c r="P70" s="87" t="n">
        <v>0.01</v>
      </c>
      <c r="Q70" s="87" t="n">
        <v>0.01</v>
      </c>
    </row>
    <row r="71" customFormat="false" ht="15" hidden="false" customHeight="false" outlineLevel="0" collapsed="false">
      <c r="B71" s="9" t="s">
        <v>362</v>
      </c>
      <c r="L71" s="103" t="n">
        <f aca="false">'KPI 2 Booking Build'!D33</f>
        <v>-0</v>
      </c>
      <c r="M71" s="103" t="n">
        <f aca="false">'KPI 2 Booking Build'!E33</f>
        <v>-0</v>
      </c>
      <c r="N71" s="103" t="n">
        <f aca="false">'KPI 2 Booking Build'!F33</f>
        <v>-0</v>
      </c>
      <c r="O71" s="103" t="n">
        <f aca="false">'KPI 2 Booking Build'!G33</f>
        <v>-0</v>
      </c>
      <c r="P71" s="103" t="n">
        <f aca="false">'KPI 2 Booking Build'!H33</f>
        <v>-0.010526766111655</v>
      </c>
      <c r="Q71" s="103" t="n">
        <f aca="false">'KPI 2 Booking Build'!I33</f>
        <v>-0.010526766111655</v>
      </c>
    </row>
    <row r="72" customFormat="false" ht="15" hidden="false" customHeight="false" outlineLevel="0" collapsed="false">
      <c r="B72" s="9" t="s">
        <v>363</v>
      </c>
      <c r="L72" s="87" t="n">
        <v>0.04</v>
      </c>
      <c r="M72" s="87" t="n">
        <v>0.03</v>
      </c>
      <c r="N72" s="87" t="n">
        <v>0.01</v>
      </c>
      <c r="O72" s="87" t="n">
        <v>0.01</v>
      </c>
      <c r="P72" s="87" t="n">
        <v>0.015</v>
      </c>
      <c r="Q72" s="87" t="n">
        <v>0.015</v>
      </c>
    </row>
    <row r="73" customFormat="false" ht="15" hidden="false" customHeight="false" outlineLevel="0" collapsed="false">
      <c r="B73" s="9" t="s">
        <v>270</v>
      </c>
      <c r="F73" s="91" t="n">
        <f aca="false">'Quarterly (A)'!E29</f>
        <v>5.7006</v>
      </c>
      <c r="G73" s="91" t="n">
        <f aca="false">'Quarterly (A)'!F29</f>
        <v>6.0523</v>
      </c>
      <c r="H73" s="91" t="n">
        <f aca="false">'Quarterly (A)'!G29</f>
        <v>6.4176</v>
      </c>
      <c r="I73" s="91" t="n">
        <f aca="false">'Quarterly (A)'!H29</f>
        <v>6.2631</v>
      </c>
      <c r="J73" s="91" t="n">
        <f aca="false">'Quarterly (A)'!I29</f>
        <v>6.393</v>
      </c>
      <c r="K73" s="91" t="n">
        <f aca="false">'Quarterly (A)'!J29</f>
        <v>6.5897</v>
      </c>
      <c r="L73" s="92" t="n">
        <f aca="false">H73*(1+L$6)</f>
        <v>6.799896432</v>
      </c>
      <c r="M73" s="92" t="n">
        <f aca="false">I73*(1+M$6)</f>
        <v>6.46727706</v>
      </c>
      <c r="N73" s="92" t="n">
        <f aca="false">J73*(1+N$6)</f>
        <v>6.60665355500883</v>
      </c>
      <c r="O73" s="92" t="n">
        <f aca="false">K73*(1+O$6)</f>
        <v>6.59494572314846</v>
      </c>
      <c r="P73" s="92" t="n">
        <f aca="false">L73*(1+P$6)</f>
        <v>7.13078272311908</v>
      </c>
      <c r="Q73" s="92" t="n">
        <f aca="false">M73*(1+Q$6)</f>
        <v>6.78955111291595</v>
      </c>
      <c r="S73" s="92" t="n">
        <f aca="false">SUM(F73:I73)</f>
        <v>24.4336</v>
      </c>
      <c r="T73" s="92" t="n">
        <f aca="false">SUM(J73:M73)</f>
        <v>26.249873492</v>
      </c>
      <c r="U73" s="92" t="n">
        <f aca="false">SUM(N73:Q73)</f>
        <v>27.1219331141923</v>
      </c>
    </row>
    <row r="74" customFormat="false" ht="15" hidden="false" customHeight="false" outlineLevel="0" collapsed="false">
      <c r="B74" s="9" t="s">
        <v>58</v>
      </c>
      <c r="F74" s="24" t="n">
        <f aca="false">'Quarterly (A)'!E31</f>
        <v>1.01519138336316</v>
      </c>
      <c r="G74" s="24" t="n">
        <f aca="false">'Quarterly (A)'!F31</f>
        <v>1.03907605373164</v>
      </c>
      <c r="H74" s="24" t="n">
        <f aca="false">'Quarterly (A)'!G31</f>
        <v>1.06399588631264</v>
      </c>
      <c r="I74" s="24" t="n">
        <f aca="false">'Quarterly (A)'!H31</f>
        <v>1.01772285290032</v>
      </c>
      <c r="J74" s="24" t="n">
        <f aca="false">'Quarterly (A)'!I31</f>
        <v>1.0377756921633</v>
      </c>
      <c r="K74" s="24" t="n">
        <f aca="false">'Quarterly (A)'!J31</f>
        <v>1.02371883393781</v>
      </c>
      <c r="L74" s="11" t="n">
        <f aca="false">H74+L67/100</f>
        <v>1.03999588631264</v>
      </c>
      <c r="M74" s="11" t="n">
        <f aca="false">I74+M67/100</f>
        <v>0.989722852900321</v>
      </c>
      <c r="N74" s="11" t="n">
        <f aca="false">J74+N67/100</f>
        <v>1.0117756921633</v>
      </c>
      <c r="O74" s="11" t="n">
        <f aca="false">K74+O67/100</f>
        <v>1.01271883393781</v>
      </c>
      <c r="P74" s="11" t="n">
        <f aca="false">L74+P67/100</f>
        <v>1.03899588631264</v>
      </c>
      <c r="Q74" s="11" t="n">
        <f aca="false">M74+Q67/100</f>
        <v>0.993722852900321</v>
      </c>
      <c r="S74" s="11" t="n">
        <f aca="false">S75/S73</f>
        <v>1.03457533887761</v>
      </c>
      <c r="T74" s="11" t="n">
        <f aca="false">T75/T73</f>
        <v>1.02298307179026</v>
      </c>
      <c r="U74" s="11" t="n">
        <f aca="false">U75/U73</f>
        <v>1.01464239726635</v>
      </c>
    </row>
    <row r="75" customFormat="false" ht="15" hidden="false" customHeight="false" outlineLevel="0" collapsed="false">
      <c r="B75" s="9" t="s">
        <v>272</v>
      </c>
      <c r="F75" s="92" t="n">
        <f aca="false">F73*F74</f>
        <v>5.7872</v>
      </c>
      <c r="G75" s="92" t="n">
        <f aca="false">G73*G74</f>
        <v>6.2888</v>
      </c>
      <c r="H75" s="92" t="n">
        <f aca="false">H73*H74</f>
        <v>6.8283</v>
      </c>
      <c r="I75" s="92" t="n">
        <f aca="false">I73*I74</f>
        <v>6.3741</v>
      </c>
      <c r="J75" s="92" t="n">
        <f aca="false">J73*J74</f>
        <v>6.6345</v>
      </c>
      <c r="K75" s="92" t="n">
        <f aca="false">K73*K74</f>
        <v>6.746</v>
      </c>
      <c r="L75" s="92" t="n">
        <f aca="false">L73*L74</f>
        <v>7.071864316632</v>
      </c>
      <c r="M75" s="92" t="n">
        <f aca="false">M73*M74</f>
        <v>6.40081190232</v>
      </c>
      <c r="N75" s="92" t="n">
        <f aca="false">N73*N74</f>
        <v>6.68445147350221</v>
      </c>
      <c r="O75" s="92" t="n">
        <f aca="false">O73*O74</f>
        <v>6.67882574263007</v>
      </c>
      <c r="P75" s="92" t="n">
        <f aca="false">P73*P74</f>
        <v>7.40885391550997</v>
      </c>
      <c r="Q75" s="92" t="n">
        <f aca="false">Q73*Q74</f>
        <v>6.74693210183939</v>
      </c>
      <c r="S75" s="92" t="n">
        <f aca="false">SUM(F75:I75)</f>
        <v>25.2784</v>
      </c>
      <c r="T75" s="92" t="n">
        <f aca="false">SUM(J75:M75)</f>
        <v>26.853176218952</v>
      </c>
      <c r="U75" s="92" t="n">
        <f aca="false">SUM(N75:Q75)</f>
        <v>27.5190632334816</v>
      </c>
    </row>
    <row r="76" customFormat="false" ht="15" hidden="false" customHeight="false" outlineLevel="0" collapsed="false">
      <c r="B76" s="9" t="s">
        <v>364</v>
      </c>
      <c r="L76" s="11" t="n">
        <f aca="false">L68</f>
        <v>-0.1129</v>
      </c>
      <c r="M76" s="11" t="n">
        <f aca="false">M68</f>
        <v>-0.0542194342862399</v>
      </c>
      <c r="N76" s="11" t="n">
        <f aca="false">N68</f>
        <v>-0.005</v>
      </c>
      <c r="O76" s="11" t="n">
        <f aca="false">O68</f>
        <v>-0.005</v>
      </c>
      <c r="P76" s="11" t="n">
        <f aca="false">P68</f>
        <v>-0.005</v>
      </c>
      <c r="Q76" s="11" t="n">
        <f aca="false">Q68</f>
        <v>-0.005</v>
      </c>
    </row>
    <row r="77" customFormat="false" ht="15" hidden="false" customHeight="false" outlineLevel="0" collapsed="false">
      <c r="B77" s="9" t="s">
        <v>365</v>
      </c>
      <c r="L77" s="11" t="n">
        <f aca="false">L69+L71</f>
        <v>0</v>
      </c>
      <c r="M77" s="11" t="n">
        <f aca="false">M69+M71</f>
        <v>-0.0378305657137601</v>
      </c>
      <c r="N77" s="11" t="n">
        <f aca="false">N69+N71</f>
        <v>-0.0356348816056447</v>
      </c>
      <c r="O77" s="11" t="n">
        <f aca="false">O69+O71</f>
        <v>-0.0303032982572106</v>
      </c>
      <c r="P77" s="11" t="n">
        <f aca="false">P69+P71</f>
        <v>-0.0182060307432405</v>
      </c>
      <c r="Q77" s="11" t="n">
        <f aca="false">Q69+Q71</f>
        <v>-0.0309084875598645</v>
      </c>
    </row>
    <row r="78" customFormat="false" ht="15" hidden="false" customHeight="false" outlineLevel="0" collapsed="false">
      <c r="B78" s="19" t="s">
        <v>366</v>
      </c>
      <c r="L78" s="88" t="n">
        <f aca="false">L76+L77</f>
        <v>-0.1129</v>
      </c>
      <c r="M78" s="88" t="n">
        <f aca="false">M76+M77</f>
        <v>-0.09205</v>
      </c>
      <c r="N78" s="88" t="n">
        <f aca="false">N76+N77</f>
        <v>-0.0406348816056447</v>
      </c>
      <c r="O78" s="88" t="n">
        <f aca="false">O76+O77</f>
        <v>-0.0353032982572106</v>
      </c>
      <c r="P78" s="88" t="n">
        <f aca="false">P76+P77</f>
        <v>-0.0232060307432405</v>
      </c>
      <c r="Q78" s="88" t="n">
        <f aca="false">Q76+Q77</f>
        <v>-0.0359084875598645</v>
      </c>
    </row>
    <row r="79" customFormat="false" ht="15" hidden="false" customHeight="false" outlineLevel="0" collapsed="false">
      <c r="B79" s="9" t="s">
        <v>367</v>
      </c>
      <c r="F79" s="26" t="n">
        <f aca="false">'Quarterly (A)'!E34</f>
        <v>245.141692009953</v>
      </c>
      <c r="G79" s="26" t="n">
        <f aca="false">'Quarterly (A)'!F34</f>
        <v>271.750572446254</v>
      </c>
      <c r="H79" s="26" t="n">
        <f aca="false">'Quarterly (A)'!G34</f>
        <v>300.215134074367</v>
      </c>
      <c r="I79" s="26" t="n">
        <f aca="false">'Quarterly (A)'!H34</f>
        <v>236.902307776784</v>
      </c>
      <c r="J79" s="26" t="n">
        <f aca="false">'Quarterly (A)'!I34</f>
        <v>232.46981686638</v>
      </c>
      <c r="K79" s="26" t="n">
        <f aca="false">'Quarterly (A)'!J34</f>
        <v>256.424251408242</v>
      </c>
      <c r="L79" s="38" t="n">
        <f aca="false">H79*(1+L78+L70+'KPI 2 Booking Build'!D52)</f>
        <v>267.821921107743</v>
      </c>
      <c r="M79" s="38" t="n">
        <f aca="false">I79*(1+M78+M70+'KPI 2 Booking Build'!E52)</f>
        <v>216.279961884815</v>
      </c>
      <c r="N79" s="38" t="n">
        <f aca="false">J79*(1+N78+N70+'KPI 2 Booking Build'!F52)</f>
        <v>225.348131549793</v>
      </c>
      <c r="O79" s="38" t="n">
        <f aca="false">K79*(1+O78+O70+'KPI 2 Booking Build'!G52)</f>
        <v>249.935872094477</v>
      </c>
      <c r="P79" s="38" t="n">
        <f aca="false">L79*(1+P78+P70+'KPI 2 Booking Build'!H52)</f>
        <v>264.28505658388</v>
      </c>
      <c r="Q79" s="38" t="n">
        <f aca="false">M79*(1+Q78+Q70+'KPI 2 Booking Build'!I52)</f>
        <v>210.676475182874</v>
      </c>
      <c r="S79" s="38" t="n">
        <f aca="false">S86/S75</f>
        <v>264.56053389455</v>
      </c>
      <c r="T79" s="38" t="n">
        <f aca="false">T86/T75</f>
        <v>243.938615974083</v>
      </c>
      <c r="U79" s="38" t="n">
        <f aca="false">U86/U75</f>
        <v>238.201278172902</v>
      </c>
    </row>
    <row r="80" customFormat="false" ht="15" hidden="false" customHeight="false" outlineLevel="0" collapsed="false">
      <c r="B80" s="9" t="s">
        <v>368</v>
      </c>
      <c r="F80" s="26" t="n">
        <f aca="false">'Quarterly (A)'!E35</f>
        <v>122.489113906552</v>
      </c>
      <c r="G80" s="26" t="n">
        <f aca="false">'Quarterly (A)'!F35</f>
        <v>128.563795954713</v>
      </c>
      <c r="H80" s="26" t="n">
        <f aca="false">'Quarterly (A)'!G35</f>
        <v>130.07381046527</v>
      </c>
      <c r="I80" s="26" t="n">
        <f aca="false">'Quarterly (A)'!H35</f>
        <v>115.210147314915</v>
      </c>
      <c r="J80" s="26" t="n">
        <f aca="false">'Quarterly (A)'!I35</f>
        <v>118.90873464466</v>
      </c>
      <c r="K80" s="26" t="n">
        <f aca="false">'Quarterly (A)'!J35</f>
        <v>134.999407056033</v>
      </c>
      <c r="L80" s="38" t="n">
        <f aca="false">H80*(1+L72)</f>
        <v>135.27676288388</v>
      </c>
      <c r="M80" s="38" t="n">
        <f aca="false">I80*(1+M72)</f>
        <v>118.666451734362</v>
      </c>
      <c r="N80" s="38" t="n">
        <f aca="false">J80*(1+N72)</f>
        <v>120.097821991107</v>
      </c>
      <c r="O80" s="38" t="n">
        <f aca="false">K80*(1+O72)</f>
        <v>136.349401126594</v>
      </c>
      <c r="P80" s="38" t="n">
        <f aca="false">L80*(1+P72)</f>
        <v>137.305914327139</v>
      </c>
      <c r="Q80" s="38" t="n">
        <f aca="false">M80*(1+Q72)</f>
        <v>120.446448510378</v>
      </c>
      <c r="S80" s="38" t="n">
        <f aca="false">S87/S75</f>
        <v>124.213755617444</v>
      </c>
      <c r="T80" s="38" t="n">
        <f aca="false">T87/T75</f>
        <v>127.203818316458</v>
      </c>
      <c r="U80" s="38" t="n">
        <f aca="false">U87/U75</f>
        <v>128.760393998105</v>
      </c>
    </row>
    <row r="81" customFormat="false" ht="15" hidden="false" customHeight="false" outlineLevel="0" collapsed="false">
      <c r="B81" s="9" t="s">
        <v>369</v>
      </c>
      <c r="F81" s="24" t="n">
        <f aca="false">'Quarterly (A)'!E36</f>
        <v>0.278668822655362</v>
      </c>
      <c r="G81" s="24" t="n">
        <f aca="false">'Quarterly (A)'!F36</f>
        <v>0.285453061320023</v>
      </c>
      <c r="H81" s="24" t="n">
        <f aca="false">'Quarterly (A)'!G36</f>
        <v>0.254629970648193</v>
      </c>
      <c r="I81" s="24" t="n">
        <f aca="false">'Quarterly (A)'!H36</f>
        <v>0.249559779581852</v>
      </c>
      <c r="J81" s="24" t="n">
        <f aca="false">'Quarterly (A)'!I36</f>
        <v>0.257796528738181</v>
      </c>
      <c r="K81" s="24" t="n">
        <f aca="false">'Quarterly (A)'!J36</f>
        <v>0.280181149911148</v>
      </c>
      <c r="L81" s="11" t="n">
        <f aca="false">H81+L$10</f>
        <v>0.260629970648193</v>
      </c>
      <c r="M81" s="11" t="n">
        <f aca="false">I81+M$10</f>
        <v>0.258559779581852</v>
      </c>
      <c r="N81" s="11" t="n">
        <f aca="false">J81+N$10</f>
        <v>0.270797028738181</v>
      </c>
      <c r="O81" s="11" t="n">
        <f aca="false">K81+O$10</f>
        <v>0.291180649911148</v>
      </c>
      <c r="P81" s="11" t="n">
        <f aca="false">L81+P$10</f>
        <v>0.268129970648193</v>
      </c>
      <c r="Q81" s="11" t="n">
        <f aca="false">M81+Q$10</f>
        <v>0.263559279581852</v>
      </c>
      <c r="S81" s="11" t="n">
        <f aca="false">S89/S86</f>
        <v>0.266461233790498</v>
      </c>
      <c r="T81" s="11" t="n">
        <f aca="false">T89/T86</f>
        <v>0.264688329983242</v>
      </c>
      <c r="U81" s="11" t="n">
        <f aca="false">U89/U86</f>
        <v>0.273621682662135</v>
      </c>
    </row>
    <row r="82" customFormat="false" ht="15" hidden="false" customHeight="false" outlineLevel="0" collapsed="false">
      <c r="B82" s="9" t="s">
        <v>370</v>
      </c>
      <c r="F82" s="24" t="n">
        <f aca="false">'Quarterly (A)'!E37</f>
        <v>0.195886687102977</v>
      </c>
      <c r="G82" s="24" t="n">
        <f aca="false">'Quarterly (A)'!F37</f>
        <v>0.232135082719861</v>
      </c>
      <c r="H82" s="24" t="n">
        <f aca="false">'Quarterly (A)'!G37</f>
        <v>0.249950742133096</v>
      </c>
      <c r="I82" s="24" t="n">
        <f aca="false">'Quarterly (A)'!H37</f>
        <v>0.190887043293421</v>
      </c>
      <c r="J82" s="24" t="n">
        <f aca="false">'Quarterly (A)'!I37</f>
        <v>0.192506021041957</v>
      </c>
      <c r="K82" s="24" t="n">
        <f aca="false">'Quarterly (A)'!J37</f>
        <v>0.210217128249951</v>
      </c>
      <c r="L82" s="11" t="n">
        <f aca="false">H82</f>
        <v>0.249950742133096</v>
      </c>
      <c r="M82" s="11" t="n">
        <f aca="false">I82</f>
        <v>0.190887043293421</v>
      </c>
      <c r="N82" s="11" t="n">
        <f aca="false">J82</f>
        <v>0.192506021041957</v>
      </c>
      <c r="O82" s="11" t="n">
        <f aca="false">K82</f>
        <v>0.210217128249951</v>
      </c>
      <c r="P82" s="11" t="n">
        <f aca="false">L82</f>
        <v>0.249950742133096</v>
      </c>
      <c r="Q82" s="11" t="n">
        <f aca="false">M82</f>
        <v>0.190887043293421</v>
      </c>
      <c r="S82" s="11" t="n">
        <f aca="false">S90/S87</f>
        <v>0.219344092613677</v>
      </c>
      <c r="T82" s="11" t="n">
        <f aca="false">T90/T87</f>
        <v>0.212956386892763</v>
      </c>
      <c r="U82" s="11" t="n">
        <f aca="false">U90/U87</f>
        <v>0.213178563171896</v>
      </c>
    </row>
    <row r="83" customFormat="false" ht="15" hidden="false" customHeight="false" outlineLevel="0" collapsed="false">
      <c r="B83" s="19" t="s">
        <v>371</v>
      </c>
      <c r="F83" s="94" t="n">
        <f aca="false">F79+F80-F79*F81-F80*F82</f>
        <v>275.323472491015</v>
      </c>
      <c r="G83" s="94" t="n">
        <f aca="false">G79+G80-G79*G81-G80*G82</f>
        <v>292.898168171988</v>
      </c>
      <c r="H83" s="94" t="n">
        <f aca="false">H79+H80-H79*H81-H80*H82</f>
        <v>321.333128304263</v>
      </c>
      <c r="I83" s="94" t="n">
        <f aca="false">I79+I80-I79*I81-I80*I82</f>
        <v>270.999043002149</v>
      </c>
      <c r="J83" s="94" t="n">
        <f aca="false">J79+J80-J79*J81-J80*J82</f>
        <v>268.55799231291</v>
      </c>
      <c r="K83" s="94" t="n">
        <f aca="false">K79+K80-K79*K81-K80*K82</f>
        <v>291.199229172843</v>
      </c>
      <c r="L83" s="94" t="n">
        <f aca="false">L79+L80-L79*L81-L80*L82</f>
        <v>299.483737278181</v>
      </c>
      <c r="M83" s="94" t="n">
        <f aca="false">M79+M80-M79*M81-M80*M82</f>
        <v>256.373226236575</v>
      </c>
      <c r="N83" s="94" t="n">
        <f aca="false">N79+N80-N79*N81-N80*N82</f>
        <v>261.302795238202</v>
      </c>
      <c r="O83" s="94" t="n">
        <f aca="false">O79+O80-O79*O81-O80*O82</f>
        <v>284.845804005058</v>
      </c>
      <c r="P83" s="94" t="n">
        <f aca="false">P79+P80-P79*P81-P80*P82</f>
        <v>296.408511261095</v>
      </c>
      <c r="Q83" s="94" t="n">
        <f aca="false">Q79+Q80-Q79*Q81-Q80*Q82</f>
        <v>252.605517237871</v>
      </c>
      <c r="S83" s="38" t="n">
        <f aca="false">S91/S75</f>
        <v>291.033609722134</v>
      </c>
      <c r="T83" s="38" t="n">
        <f aca="false">T91/T75</f>
        <v>279.485863862301</v>
      </c>
      <c r="U83" s="38" t="n">
        <f aca="false">U91/U75</f>
        <v>274.335681839103</v>
      </c>
    </row>
    <row r="84" customFormat="false" ht="15" hidden="false" customHeight="false" outlineLevel="0" collapsed="false">
      <c r="B84" s="19" t="s">
        <v>372</v>
      </c>
      <c r="F84" s="94" t="n">
        <f aca="false">F83*F74</f>
        <v>279.506016910501</v>
      </c>
      <c r="G84" s="94" t="n">
        <f aca="false">G83*G74</f>
        <v>304.343472729376</v>
      </c>
      <c r="H84" s="94" t="n">
        <f aca="false">H83*H74</f>
        <v>341.897126651708</v>
      </c>
      <c r="I84" s="94" t="n">
        <f aca="false">I83*I74</f>
        <v>275.801919177404</v>
      </c>
      <c r="J84" s="94" t="n">
        <f aca="false">J83*J74</f>
        <v>278.702956358517</v>
      </c>
      <c r="K84" s="94" t="n">
        <f aca="false">K83*K74</f>
        <v>298.106135332413</v>
      </c>
      <c r="L84" s="94" t="n">
        <f aca="false">L83*L74</f>
        <v>311.461854786843</v>
      </c>
      <c r="M84" s="94" t="n">
        <f aca="false">M83*M74</f>
        <v>253.738440878122</v>
      </c>
      <c r="N84" s="94" t="n">
        <f aca="false">N83*N74</f>
        <v>264.379816516338</v>
      </c>
      <c r="O84" s="94" t="n">
        <f aca="false">O83*O74</f>
        <v>288.468710484081</v>
      </c>
      <c r="P84" s="94" t="n">
        <f aca="false">P83*P74</f>
        <v>307.967223868332</v>
      </c>
      <c r="Q84" s="94" t="n">
        <f aca="false">Q83*Q74</f>
        <v>251.019875247978</v>
      </c>
      <c r="S84" s="94" t="n">
        <f aca="false">S91/S73</f>
        <v>301.096195403052</v>
      </c>
      <c r="T84" s="94" t="n">
        <f aca="false">T91/T73</f>
        <v>285.909307535813</v>
      </c>
      <c r="U84" s="94" t="n">
        <f aca="false">U91/U73</f>
        <v>278.352613876925</v>
      </c>
    </row>
    <row r="85" customFormat="false" ht="15" hidden="false" customHeight="false" outlineLevel="0" collapsed="false">
      <c r="B85" s="9" t="s">
        <v>373</v>
      </c>
      <c r="J85" s="11" t="n">
        <f aca="false">J84/F84-1</f>
        <v>-0.00287314227028157</v>
      </c>
      <c r="K85" s="11" t="n">
        <f aca="false">K84/G84-1</f>
        <v>-0.0204944017396722</v>
      </c>
      <c r="L85" s="11" t="n">
        <f aca="false">L84/H84-1</f>
        <v>-0.0890187997861394</v>
      </c>
      <c r="M85" s="11" t="n">
        <f aca="false">M84/I84-1</f>
        <v>-0.0799975517396245</v>
      </c>
      <c r="N85" s="11" t="n">
        <f aca="false">N84/J84-1</f>
        <v>-0.0513921345841569</v>
      </c>
      <c r="O85" s="11" t="n">
        <f aca="false">O84/K84-1</f>
        <v>-0.0323288376389338</v>
      </c>
      <c r="P85" s="11" t="n">
        <f aca="false">P84/L84-1</f>
        <v>-0.0112200928133018</v>
      </c>
      <c r="Q85" s="11" t="n">
        <f aca="false">Q84/M84-1</f>
        <v>-0.0107140471925961</v>
      </c>
      <c r="S85" s="11" t="n">
        <f aca="false">S84/'Quarterly (A)'!L32-1</f>
        <v>0.0229928520847233</v>
      </c>
      <c r="T85" s="88" t="n">
        <f aca="false">T84/S84-1</f>
        <v>-0.0504386574759259</v>
      </c>
      <c r="U85" s="88" t="n">
        <f aca="false">U84/T84-1</f>
        <v>-0.0264303870483156</v>
      </c>
    </row>
    <row r="86" customFormat="false" ht="15" hidden="false" customHeight="false" outlineLevel="0" collapsed="false">
      <c r="B86" s="9" t="s">
        <v>374</v>
      </c>
      <c r="F86" s="37" t="n">
        <f aca="false">F79*F75</f>
        <v>1418.684</v>
      </c>
      <c r="G86" s="37" t="n">
        <f aca="false">G79*G75</f>
        <v>1708.985</v>
      </c>
      <c r="H86" s="37" t="n">
        <f aca="false">H79*H75</f>
        <v>2049.959</v>
      </c>
      <c r="I86" s="37" t="n">
        <f aca="false">I79*I75</f>
        <v>1510.039</v>
      </c>
      <c r="J86" s="37" t="n">
        <f aca="false">J79*J75</f>
        <v>1542.321</v>
      </c>
      <c r="K86" s="37" t="n">
        <f aca="false">K79*K75</f>
        <v>1729.838</v>
      </c>
      <c r="L86" s="37" t="n">
        <f aca="false">L79*L75</f>
        <v>1894.00028709368</v>
      </c>
      <c r="M86" s="37" t="n">
        <f aca="false">M79*M75</f>
        <v>1384.36735426564</v>
      </c>
      <c r="N86" s="37" t="n">
        <f aca="false">N79*N75</f>
        <v>1506.32864998898</v>
      </c>
      <c r="O86" s="37" t="n">
        <f aca="false">O79*O75</f>
        <v>1669.27813655129</v>
      </c>
      <c r="P86" s="37" t="n">
        <f aca="false">P79*P75</f>
        <v>1958.04937628226</v>
      </c>
      <c r="Q86" s="37" t="n">
        <f aca="false">Q79*Q75</f>
        <v>1421.41987351371</v>
      </c>
      <c r="S86" s="37" t="n">
        <f aca="false">SUM(F86:I86)</f>
        <v>6687.667</v>
      </c>
      <c r="T86" s="37" t="n">
        <f aca="false">SUM(J86:M86)</f>
        <v>6550.52664135932</v>
      </c>
      <c r="U86" s="37" t="n">
        <f aca="false">SUM(N86:Q86)</f>
        <v>6555.07603633623</v>
      </c>
    </row>
    <row r="87" customFormat="false" ht="15" hidden="false" customHeight="false" outlineLevel="0" collapsed="false">
      <c r="B87" s="9" t="s">
        <v>375</v>
      </c>
      <c r="F87" s="37" t="n">
        <f aca="false">F80*F75</f>
        <v>708.869</v>
      </c>
      <c r="G87" s="37" t="n">
        <f aca="false">G80*G75</f>
        <v>808.512</v>
      </c>
      <c r="H87" s="37" t="n">
        <f aca="false">H80*H75</f>
        <v>888.183</v>
      </c>
      <c r="I87" s="37" t="n">
        <f aca="false">I80*I75</f>
        <v>734.361</v>
      </c>
      <c r="J87" s="37" t="n">
        <f aca="false">J80*J75</f>
        <v>788.9</v>
      </c>
      <c r="K87" s="37" t="n">
        <f aca="false">K80*K75</f>
        <v>910.706</v>
      </c>
      <c r="L87" s="37" t="n">
        <f aca="false">L80*L75</f>
        <v>956.658912308001</v>
      </c>
      <c r="M87" s="37" t="n">
        <f aca="false">M80*M75</f>
        <v>759.561636667389</v>
      </c>
      <c r="N87" s="37" t="n">
        <f aca="false">N80*N75</f>
        <v>802.788063172862</v>
      </c>
      <c r="O87" s="37" t="n">
        <f aca="false">O80*O75</f>
        <v>910.653890236487</v>
      </c>
      <c r="P87" s="37" t="n">
        <f aca="false">P80*P75</f>
        <v>1017.2794609853</v>
      </c>
      <c r="Q87" s="37" t="n">
        <f aca="false">Q80*Q75</f>
        <v>812.644010007214</v>
      </c>
      <c r="S87" s="37" t="n">
        <f aca="false">SUM(F87:I87)</f>
        <v>3139.925</v>
      </c>
      <c r="T87" s="37" t="n">
        <f aca="false">SUM(J87:M87)</f>
        <v>3415.82654897539</v>
      </c>
      <c r="U87" s="37" t="n">
        <f aca="false">SUM(N87:Q87)</f>
        <v>3543.36542440186</v>
      </c>
    </row>
    <row r="88" customFormat="false" ht="15" hidden="false" customHeight="false" outlineLevel="0" collapsed="false">
      <c r="B88" s="9" t="s">
        <v>376</v>
      </c>
      <c r="F88" s="37" t="n">
        <f aca="false">F86+F87</f>
        <v>2127.553</v>
      </c>
      <c r="G88" s="37" t="n">
        <f aca="false">G86+G87</f>
        <v>2517.497</v>
      </c>
      <c r="H88" s="37" t="n">
        <f aca="false">H86+H87</f>
        <v>2938.142</v>
      </c>
      <c r="I88" s="37" t="n">
        <f aca="false">I86+I87</f>
        <v>2244.4</v>
      </c>
      <c r="J88" s="37" t="n">
        <f aca="false">J86+J87</f>
        <v>2331.221</v>
      </c>
      <c r="K88" s="37" t="n">
        <f aca="false">K86+K87</f>
        <v>2640.544</v>
      </c>
      <c r="L88" s="37" t="n">
        <f aca="false">L86+L87</f>
        <v>2850.65919940168</v>
      </c>
      <c r="M88" s="37" t="n">
        <f aca="false">M86+M87</f>
        <v>2143.92899093303</v>
      </c>
      <c r="N88" s="37" t="n">
        <f aca="false">N86+N87</f>
        <v>2309.11671316184</v>
      </c>
      <c r="O88" s="37" t="n">
        <f aca="false">O86+O87</f>
        <v>2579.93202678778</v>
      </c>
      <c r="P88" s="37" t="n">
        <f aca="false">P86+P87</f>
        <v>2975.32883726755</v>
      </c>
      <c r="Q88" s="37" t="n">
        <f aca="false">Q86+Q87</f>
        <v>2234.06388352092</v>
      </c>
      <c r="S88" s="37" t="n">
        <f aca="false">SUM(F88:I88)</f>
        <v>9827.592</v>
      </c>
      <c r="T88" s="37" t="n">
        <f aca="false">SUM(J88:M88)</f>
        <v>9966.35319033471</v>
      </c>
      <c r="U88" s="37" t="n">
        <f aca="false">SUM(N88:Q88)</f>
        <v>10098.4414607381</v>
      </c>
    </row>
    <row r="89" customFormat="false" ht="15" hidden="false" customHeight="false" outlineLevel="0" collapsed="false">
      <c r="B89" s="9" t="s">
        <v>377</v>
      </c>
      <c r="F89" s="37" t="n">
        <f aca="false">F86*F81</f>
        <v>395.343</v>
      </c>
      <c r="G89" s="37" t="n">
        <f aca="false">G86*G81</f>
        <v>487.835</v>
      </c>
      <c r="H89" s="37" t="n">
        <f aca="false">H86*H81</f>
        <v>521.981</v>
      </c>
      <c r="I89" s="37" t="n">
        <f aca="false">I86*I81</f>
        <v>376.845</v>
      </c>
      <c r="J89" s="37" t="n">
        <f aca="false">J86*J81</f>
        <v>397.605</v>
      </c>
      <c r="K89" s="37" t="n">
        <f aca="false">K86*K81</f>
        <v>484.668</v>
      </c>
      <c r="L89" s="37" t="n">
        <f aca="false">L86*L81</f>
        <v>493.633239232895</v>
      </c>
      <c r="M89" s="37" t="n">
        <f aca="false">M86*M81</f>
        <v>357.941717979236</v>
      </c>
      <c r="N89" s="37" t="n">
        <f aca="false">N86*N81</f>
        <v>407.909322720212</v>
      </c>
      <c r="O89" s="37" t="n">
        <f aca="false">O86*O81</f>
        <v>486.061492683475</v>
      </c>
      <c r="P89" s="37" t="n">
        <f aca="false">P86*P81</f>
        <v>525.011721790275</v>
      </c>
      <c r="Q89" s="37" t="n">
        <f aca="false">Q86*Q81</f>
        <v>374.628397846599</v>
      </c>
      <c r="S89" s="37" t="n">
        <f aca="false">SUM(F89:I89)</f>
        <v>1782.004</v>
      </c>
      <c r="T89" s="37" t="n">
        <f aca="false">SUM(J89:M89)</f>
        <v>1733.84795721213</v>
      </c>
      <c r="U89" s="37" t="n">
        <f aca="false">SUM(N89:Q89)</f>
        <v>1793.61093504056</v>
      </c>
    </row>
    <row r="90" customFormat="false" ht="15" hidden="false" customHeight="false" outlineLevel="0" collapsed="false">
      <c r="B90" s="9" t="s">
        <v>378</v>
      </c>
      <c r="F90" s="37" t="n">
        <f aca="false">F87*F82</f>
        <v>138.858</v>
      </c>
      <c r="G90" s="37" t="n">
        <f aca="false">G87*G82</f>
        <v>187.684</v>
      </c>
      <c r="H90" s="37" t="n">
        <f aca="false">H87*H82</f>
        <v>222.002</v>
      </c>
      <c r="I90" s="37" t="n">
        <f aca="false">I87*I82</f>
        <v>140.18</v>
      </c>
      <c r="J90" s="37" t="n">
        <f aca="false">J87*J82</f>
        <v>151.868</v>
      </c>
      <c r="K90" s="37" t="n">
        <f aca="false">K87*K82</f>
        <v>191.446</v>
      </c>
      <c r="L90" s="37" t="n">
        <f aca="false">L87*L82</f>
        <v>239.117605099626</v>
      </c>
      <c r="M90" s="37" t="n">
        <f aca="false">M87*M82</f>
        <v>144.99047502255</v>
      </c>
      <c r="N90" s="37" t="n">
        <f aca="false">N87*N82</f>
        <v>154.541535781387</v>
      </c>
      <c r="O90" s="37" t="n">
        <f aca="false">O87*O82</f>
        <v>191.43504563516</v>
      </c>
      <c r="P90" s="37" t="n">
        <f aca="false">P87*P82</f>
        <v>254.269756230031</v>
      </c>
      <c r="Q90" s="37" t="n">
        <f aca="false">Q87*Q82</f>
        <v>155.123212320386</v>
      </c>
      <c r="S90" s="37" t="n">
        <f aca="false">SUM(F90:I90)</f>
        <v>688.724</v>
      </c>
      <c r="T90" s="37" t="n">
        <f aca="false">SUM(J90:M90)</f>
        <v>727.422080122176</v>
      </c>
      <c r="U90" s="37" t="n">
        <f aca="false">SUM(N90:Q90)</f>
        <v>755.369549966965</v>
      </c>
    </row>
    <row r="91" customFormat="false" ht="15" hidden="false" customHeight="false" outlineLevel="0" collapsed="false">
      <c r="B91" s="19" t="s">
        <v>231</v>
      </c>
      <c r="F91" s="85" t="n">
        <f aca="false">F88-F89-F90</f>
        <v>1593.352</v>
      </c>
      <c r="G91" s="85" t="n">
        <f aca="false">G88-G89-G90</f>
        <v>1841.978</v>
      </c>
      <c r="H91" s="85" t="n">
        <f aca="false">H88-H89-H90</f>
        <v>2194.159</v>
      </c>
      <c r="I91" s="85" t="n">
        <f aca="false">I88-I89-I90</f>
        <v>1727.375</v>
      </c>
      <c r="J91" s="85" t="n">
        <f aca="false">J88-J89-J90</f>
        <v>1781.748</v>
      </c>
      <c r="K91" s="85" t="n">
        <f aca="false">K88-K89-K90</f>
        <v>1964.43</v>
      </c>
      <c r="L91" s="85" t="n">
        <f aca="false">L88-L89-L90</f>
        <v>2117.90835506916</v>
      </c>
      <c r="M91" s="85" t="n">
        <f aca="false">M88-M89-M90</f>
        <v>1640.99679793124</v>
      </c>
      <c r="N91" s="85" t="n">
        <f aca="false">N88-N89-N90</f>
        <v>1746.66585466025</v>
      </c>
      <c r="O91" s="85" t="n">
        <f aca="false">O88-O89-O90</f>
        <v>1902.43548846914</v>
      </c>
      <c r="P91" s="85" t="n">
        <f aca="false">P88-P89-P90</f>
        <v>2196.04735924725</v>
      </c>
      <c r="Q91" s="85" t="n">
        <f aca="false">Q88-Q89-Q90</f>
        <v>1704.31227335393</v>
      </c>
      <c r="S91" s="85" t="n">
        <f aca="false">SUM(F91:I91)</f>
        <v>7356.864</v>
      </c>
      <c r="T91" s="85" t="n">
        <f aca="false">SUM(J91:M91)</f>
        <v>7505.0831530004</v>
      </c>
      <c r="U91" s="85" t="n">
        <f aca="false">SUM(N91:Q91)</f>
        <v>7549.46097573057</v>
      </c>
    </row>
    <row r="93" customFormat="false" ht="15" hidden="false" customHeight="false" outlineLevel="0" collapsed="false">
      <c r="B93" s="4" t="s">
        <v>383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customFormat="false" ht="15" hidden="false" customHeight="false" outlineLevel="0" collapsed="false">
      <c r="B94" s="9" t="s">
        <v>270</v>
      </c>
      <c r="F94" s="92" t="n">
        <f aca="false">CHOOSE(DCF!$C$9,F19,F46,F73)</f>
        <v>5.7006</v>
      </c>
      <c r="G94" s="92" t="n">
        <f aca="false">CHOOSE(DCF!$C$9,G19,G46,G73)</f>
        <v>6.0523</v>
      </c>
      <c r="H94" s="92" t="n">
        <f aca="false">CHOOSE(DCF!$C$9,H19,H46,H73)</f>
        <v>6.4176</v>
      </c>
      <c r="I94" s="92" t="n">
        <f aca="false">CHOOSE(DCF!$C$9,I19,I46,I73)</f>
        <v>6.2631</v>
      </c>
      <c r="J94" s="92" t="n">
        <f aca="false">CHOOSE(DCF!$C$9,J19,J46,J73)</f>
        <v>6.393</v>
      </c>
      <c r="K94" s="92" t="n">
        <f aca="false">CHOOSE(DCF!$C$9,K19,K46,K73)</f>
        <v>6.5897</v>
      </c>
      <c r="L94" s="92" t="n">
        <f aca="false">CHOOSE(DCF!$C$9,L19,L46,L73)</f>
        <v>6.799896432</v>
      </c>
      <c r="M94" s="92" t="n">
        <f aca="false">CHOOSE(DCF!$C$9,M19,M46,M73)</f>
        <v>6.46727706</v>
      </c>
      <c r="N94" s="92" t="n">
        <f aca="false">CHOOSE(DCF!$C$9,N19,N46,N73)</f>
        <v>6.60665355500883</v>
      </c>
      <c r="O94" s="92" t="n">
        <f aca="false">CHOOSE(DCF!$C$9,O19,O46,O73)</f>
        <v>6.59494572314846</v>
      </c>
      <c r="P94" s="92" t="n">
        <f aca="false">CHOOSE(DCF!$C$9,P19,P46,P73)</f>
        <v>7.13078272311908</v>
      </c>
      <c r="Q94" s="92" t="n">
        <f aca="false">CHOOSE(DCF!$C$9,Q19,Q46,Q73)</f>
        <v>6.78955111291595</v>
      </c>
      <c r="S94" s="92" t="n">
        <f aca="false">CHOOSE(DCF!$C$9,S19,S46,S73)</f>
        <v>24.4336</v>
      </c>
      <c r="T94" s="92" t="n">
        <f aca="false">CHOOSE(DCF!$C$9,T19,T46,T73)</f>
        <v>26.249873492</v>
      </c>
      <c r="U94" s="92" t="n">
        <f aca="false">CHOOSE(DCF!$C$9,U19,U46,U73)</f>
        <v>27.1219331141923</v>
      </c>
    </row>
    <row r="95" customFormat="false" ht="15" hidden="false" customHeight="false" outlineLevel="0" collapsed="false">
      <c r="B95" s="9" t="s">
        <v>58</v>
      </c>
      <c r="F95" s="11" t="n">
        <f aca="false">CHOOSE(DCF!$C$9,F20,F47,F74)</f>
        <v>1.01519138336316</v>
      </c>
      <c r="G95" s="11" t="n">
        <f aca="false">CHOOSE(DCF!$C$9,G20,G47,G74)</f>
        <v>1.03907605373164</v>
      </c>
      <c r="H95" s="11" t="n">
        <f aca="false">CHOOSE(DCF!$C$9,H20,H47,H74)</f>
        <v>1.06399588631264</v>
      </c>
      <c r="I95" s="11" t="n">
        <f aca="false">CHOOSE(DCF!$C$9,I20,I47,I74)</f>
        <v>1.01772285290032</v>
      </c>
      <c r="J95" s="11" t="n">
        <f aca="false">CHOOSE(DCF!$C$9,J20,J47,J74)</f>
        <v>1.0377756921633</v>
      </c>
      <c r="K95" s="11" t="n">
        <f aca="false">CHOOSE(DCF!$C$9,K20,K47,K74)</f>
        <v>1.02371883393781</v>
      </c>
      <c r="L95" s="11" t="n">
        <f aca="false">CHOOSE(DCF!$C$9,L20,L47,L74)</f>
        <v>1.03999588631264</v>
      </c>
      <c r="M95" s="11" t="n">
        <f aca="false">CHOOSE(DCF!$C$9,M20,M47,M74)</f>
        <v>0.989722852900321</v>
      </c>
      <c r="N95" s="11" t="n">
        <f aca="false">CHOOSE(DCF!$C$9,N20,N47,N74)</f>
        <v>1.0177756921633</v>
      </c>
      <c r="O95" s="11" t="n">
        <f aca="false">CHOOSE(DCF!$C$9,O20,O47,O74)</f>
        <v>1.01871883393781</v>
      </c>
      <c r="P95" s="11" t="n">
        <f aca="false">CHOOSE(DCF!$C$9,P20,P47,P74)</f>
        <v>1.04499588631264</v>
      </c>
      <c r="Q95" s="11" t="n">
        <f aca="false">CHOOSE(DCF!$C$9,Q20,Q47,Q74)</f>
        <v>0.999722852900321</v>
      </c>
      <c r="S95" s="11" t="n">
        <f aca="false">CHOOSE(DCF!$C$9,S20,S47,S74)</f>
        <v>1.03457533887761</v>
      </c>
      <c r="T95" s="11" t="n">
        <f aca="false">CHOOSE(DCF!$C$9,T20,T47,T74)</f>
        <v>1.02298307179026</v>
      </c>
      <c r="U95" s="11" t="n">
        <f aca="false">CHOOSE(DCF!$C$9,U20,U47,U74)</f>
        <v>1.02064239726635</v>
      </c>
    </row>
    <row r="96" customFormat="false" ht="15" hidden="false" customHeight="false" outlineLevel="0" collapsed="false">
      <c r="B96" s="9" t="s">
        <v>272</v>
      </c>
      <c r="F96" s="92" t="n">
        <f aca="false">CHOOSE(DCF!$C$9,F21,F48,F75)</f>
        <v>5.7872</v>
      </c>
      <c r="G96" s="92" t="n">
        <f aca="false">CHOOSE(DCF!$C$9,G21,G48,G75)</f>
        <v>6.2888</v>
      </c>
      <c r="H96" s="92" t="n">
        <f aca="false">CHOOSE(DCF!$C$9,H21,H48,H75)</f>
        <v>6.8283</v>
      </c>
      <c r="I96" s="92" t="n">
        <f aca="false">CHOOSE(DCF!$C$9,I21,I48,I75)</f>
        <v>6.3741</v>
      </c>
      <c r="J96" s="92" t="n">
        <f aca="false">CHOOSE(DCF!$C$9,J21,J48,J75)</f>
        <v>6.6345</v>
      </c>
      <c r="K96" s="92" t="n">
        <f aca="false">CHOOSE(DCF!$C$9,K21,K48,K75)</f>
        <v>6.746</v>
      </c>
      <c r="L96" s="92" t="n">
        <f aca="false">CHOOSE(DCF!$C$9,L21,L48,L75)</f>
        <v>7.071864316632</v>
      </c>
      <c r="M96" s="92" t="n">
        <f aca="false">CHOOSE(DCF!$C$9,M21,M48,M75)</f>
        <v>6.40081190232</v>
      </c>
      <c r="N96" s="92" t="n">
        <f aca="false">CHOOSE(DCF!$C$9,N21,N48,N75)</f>
        <v>6.72409139483226</v>
      </c>
      <c r="O96" s="92" t="n">
        <f aca="false">CHOOSE(DCF!$C$9,O21,O48,O75)</f>
        <v>6.71839541696896</v>
      </c>
      <c r="P96" s="92" t="n">
        <f aca="false">CHOOSE(DCF!$C$9,P21,P48,P75)</f>
        <v>7.45163861184869</v>
      </c>
      <c r="Q96" s="92" t="n">
        <f aca="false">CHOOSE(DCF!$C$9,Q21,Q48,Q75)</f>
        <v>6.78766940851688</v>
      </c>
      <c r="S96" s="92" t="n">
        <f aca="false">CHOOSE(DCF!$C$9,S21,S48,S75)</f>
        <v>25.2784</v>
      </c>
      <c r="T96" s="92" t="n">
        <f aca="false">CHOOSE(DCF!$C$9,T21,T48,T75)</f>
        <v>26.853176218952</v>
      </c>
      <c r="U96" s="92" t="n">
        <f aca="false">CHOOSE(DCF!$C$9,U21,U48,U75)</f>
        <v>27.6817948321668</v>
      </c>
    </row>
    <row r="97" customFormat="false" ht="15" hidden="false" customHeight="false" outlineLevel="0" collapsed="false">
      <c r="B97" s="9" t="s">
        <v>367</v>
      </c>
      <c r="F97" s="38" t="n">
        <f aca="false">CHOOSE(DCF!$C$9,F25,F52,F79)</f>
        <v>245.141692009953</v>
      </c>
      <c r="G97" s="38" t="n">
        <f aca="false">CHOOSE(DCF!$C$9,G25,G52,G79)</f>
        <v>271.750572446254</v>
      </c>
      <c r="H97" s="38" t="n">
        <f aca="false">CHOOSE(DCF!$C$9,H25,H52,H79)</f>
        <v>300.215134074367</v>
      </c>
      <c r="I97" s="38" t="n">
        <f aca="false">CHOOSE(DCF!$C$9,I25,I52,I79)</f>
        <v>236.902307776784</v>
      </c>
      <c r="J97" s="38" t="n">
        <f aca="false">CHOOSE(DCF!$C$9,J25,J52,J79)</f>
        <v>232.46981686638</v>
      </c>
      <c r="K97" s="38" t="n">
        <f aca="false">CHOOSE(DCF!$C$9,K25,K52,K79)</f>
        <v>256.424251408242</v>
      </c>
      <c r="L97" s="38" t="n">
        <f aca="false">CHOOSE(DCF!$C$9,L25,L52,L79)</f>
        <v>270.043513099893</v>
      </c>
      <c r="M97" s="38" t="n">
        <f aca="false">CHOOSE(DCF!$C$9,M25,M52,M79)</f>
        <v>220.034863463077</v>
      </c>
      <c r="N97" s="38" t="n">
        <f aca="false">CHOOSE(DCF!$C$9,N25,N52,N79)</f>
        <v>228.190581868514</v>
      </c>
      <c r="O97" s="38" t="n">
        <f aca="false">CHOOSE(DCF!$C$9,O25,O52,O79)</f>
        <v>252.902037051877</v>
      </c>
      <c r="P97" s="38" t="n">
        <f aca="false">CHOOSE(DCF!$C$9,P25,P52,P79)</f>
        <v>271.551686103486</v>
      </c>
      <c r="Q97" s="38" t="n">
        <f aca="false">CHOOSE(DCF!$C$9,Q25,Q52,Q79)</f>
        <v>220.547665262671</v>
      </c>
      <c r="S97" s="38" t="n">
        <f aca="false">CHOOSE(DCF!$C$9,S25,S52,S79)</f>
        <v>264.56053389455</v>
      </c>
      <c r="T97" s="38" t="n">
        <f aca="false">CHOOSE(DCF!$C$9,T25,T52,T79)</f>
        <v>245.418709633229</v>
      </c>
      <c r="U97" s="38" t="n">
        <f aca="false">CHOOSE(DCF!$C$9,U25,U52,U79)</f>
        <v>243.986342845502</v>
      </c>
    </row>
    <row r="98" customFormat="false" ht="15" hidden="false" customHeight="false" outlineLevel="0" collapsed="false">
      <c r="B98" s="9" t="s">
        <v>368</v>
      </c>
      <c r="F98" s="38" t="n">
        <f aca="false">CHOOSE(DCF!$C$9,F26,F53,F80)</f>
        <v>122.489113906552</v>
      </c>
      <c r="G98" s="38" t="n">
        <f aca="false">CHOOSE(DCF!$C$9,G26,G53,G80)</f>
        <v>128.563795954713</v>
      </c>
      <c r="H98" s="38" t="n">
        <f aca="false">CHOOSE(DCF!$C$9,H26,H53,H80)</f>
        <v>130.07381046527</v>
      </c>
      <c r="I98" s="38" t="n">
        <f aca="false">CHOOSE(DCF!$C$9,I26,I53,I80)</f>
        <v>115.210147314915</v>
      </c>
      <c r="J98" s="38" t="n">
        <f aca="false">CHOOSE(DCF!$C$9,J26,J53,J80)</f>
        <v>118.90873464466</v>
      </c>
      <c r="K98" s="38" t="n">
        <f aca="false">CHOOSE(DCF!$C$9,K26,K53,K80)</f>
        <v>134.999407056033</v>
      </c>
      <c r="L98" s="38" t="n">
        <f aca="false">CHOOSE(DCF!$C$9,L26,L53,L80)</f>
        <v>135.27676288388</v>
      </c>
      <c r="M98" s="38" t="n">
        <f aca="false">CHOOSE(DCF!$C$9,M26,M53,M80)</f>
        <v>118.666451734362</v>
      </c>
      <c r="N98" s="38" t="n">
        <f aca="false">CHOOSE(DCF!$C$9,N26,N53,N80)</f>
        <v>121.286909337554</v>
      </c>
      <c r="O98" s="38" t="n">
        <f aca="false">CHOOSE(DCF!$C$9,O26,O53,O80)</f>
        <v>137.024398161874</v>
      </c>
      <c r="P98" s="38" t="n">
        <f aca="false">CHOOSE(DCF!$C$9,P26,P53,P80)</f>
        <v>137.982298141558</v>
      </c>
      <c r="Q98" s="38" t="n">
        <f aca="false">CHOOSE(DCF!$C$9,Q26,Q53,Q80)</f>
        <v>121.03978076905</v>
      </c>
      <c r="S98" s="38" t="n">
        <f aca="false">CHOOSE(DCF!$C$9,S26,S53,S80)</f>
        <v>124.213755617444</v>
      </c>
      <c r="T98" s="38" t="n">
        <f aca="false">CHOOSE(DCF!$C$9,T26,T53,T80)</f>
        <v>127.203818316458</v>
      </c>
      <c r="U98" s="38" t="n">
        <f aca="false">CHOOSE(DCF!$C$9,U26,U53,U80)</f>
        <v>129.540032048866</v>
      </c>
    </row>
    <row r="99" customFormat="false" ht="15" hidden="false" customHeight="false" outlineLevel="0" collapsed="false">
      <c r="B99" s="9" t="s">
        <v>369</v>
      </c>
      <c r="F99" s="11" t="n">
        <f aca="false">CHOOSE(DCF!$C$9,F27,F54,F81)</f>
        <v>0.278668822655362</v>
      </c>
      <c r="G99" s="11" t="n">
        <f aca="false">CHOOSE(DCF!$C$9,G27,G54,G81)</f>
        <v>0.285453061320023</v>
      </c>
      <c r="H99" s="11" t="n">
        <f aca="false">CHOOSE(DCF!$C$9,H27,H54,H81)</f>
        <v>0.254629970648193</v>
      </c>
      <c r="I99" s="11" t="n">
        <f aca="false">CHOOSE(DCF!$C$9,I27,I54,I81)</f>
        <v>0.249559779581852</v>
      </c>
      <c r="J99" s="11" t="n">
        <f aca="false">CHOOSE(DCF!$C$9,J27,J54,J81)</f>
        <v>0.257796528738181</v>
      </c>
      <c r="K99" s="11" t="n">
        <f aca="false">CHOOSE(DCF!$C$9,K27,K54,K81)</f>
        <v>0.280181149911148</v>
      </c>
      <c r="L99" s="11" t="n">
        <f aca="false">CHOOSE(DCF!$C$9,L27,L54,L81)</f>
        <v>0.260629970648193</v>
      </c>
      <c r="M99" s="11" t="n">
        <f aca="false">CHOOSE(DCF!$C$9,M27,M54,M81)</f>
        <v>0.258559779581852</v>
      </c>
      <c r="N99" s="11" t="n">
        <f aca="false">CHOOSE(DCF!$C$9,N27,N54,N81)</f>
        <v>0.270797028738181</v>
      </c>
      <c r="O99" s="11" t="n">
        <f aca="false">CHOOSE(DCF!$C$9,O27,O54,O81)</f>
        <v>0.291180649911148</v>
      </c>
      <c r="P99" s="11" t="n">
        <f aca="false">CHOOSE(DCF!$C$9,P27,P54,P81)</f>
        <v>0.268129970648193</v>
      </c>
      <c r="Q99" s="11" t="n">
        <f aca="false">CHOOSE(DCF!$C$9,Q27,Q54,Q81)</f>
        <v>0.263559279581852</v>
      </c>
      <c r="S99" s="11" t="n">
        <f aca="false">CHOOSE(DCF!$C$9,S27,S54,S81)</f>
        <v>0.266461233790498</v>
      </c>
      <c r="T99" s="11" t="n">
        <f aca="false">CHOOSE(DCF!$C$9,T27,T54,T81)</f>
        <v>0.264656304565892</v>
      </c>
      <c r="U99" s="11" t="n">
        <f aca="false">CHOOSE(DCF!$C$9,U27,U54,U81)</f>
        <v>0.273521641140347</v>
      </c>
    </row>
    <row r="100" customFormat="false" ht="15" hidden="false" customHeight="false" outlineLevel="0" collapsed="false">
      <c r="B100" s="9" t="s">
        <v>370</v>
      </c>
      <c r="F100" s="11" t="n">
        <f aca="false">CHOOSE(DCF!$C$9,F28,F55,F82)</f>
        <v>0.195886687102977</v>
      </c>
      <c r="G100" s="11" t="n">
        <f aca="false">CHOOSE(DCF!$C$9,G28,G55,G82)</f>
        <v>0.232135082719861</v>
      </c>
      <c r="H100" s="11" t="n">
        <f aca="false">CHOOSE(DCF!$C$9,H28,H55,H82)</f>
        <v>0.249950742133096</v>
      </c>
      <c r="I100" s="11" t="n">
        <f aca="false">CHOOSE(DCF!$C$9,I28,I55,I82)</f>
        <v>0.190887043293421</v>
      </c>
      <c r="J100" s="11" t="n">
        <f aca="false">CHOOSE(DCF!$C$9,J28,J55,J82)</f>
        <v>0.192506021041957</v>
      </c>
      <c r="K100" s="11" t="n">
        <f aca="false">CHOOSE(DCF!$C$9,K28,K55,K82)</f>
        <v>0.210217128249951</v>
      </c>
      <c r="L100" s="11" t="n">
        <f aca="false">CHOOSE(DCF!$C$9,L28,L55,L82)</f>
        <v>0.249950742133096</v>
      </c>
      <c r="M100" s="11" t="n">
        <f aca="false">CHOOSE(DCF!$C$9,M28,M55,M82)</f>
        <v>0.190887043293421</v>
      </c>
      <c r="N100" s="11" t="n">
        <f aca="false">CHOOSE(DCF!$C$9,N28,N55,N82)</f>
        <v>0.192506021041957</v>
      </c>
      <c r="O100" s="11" t="n">
        <f aca="false">CHOOSE(DCF!$C$9,O28,O55,O82)</f>
        <v>0.210217128249951</v>
      </c>
      <c r="P100" s="11" t="n">
        <f aca="false">CHOOSE(DCF!$C$9,P28,P55,P82)</f>
        <v>0.249950742133096</v>
      </c>
      <c r="Q100" s="11" t="n">
        <f aca="false">CHOOSE(DCF!$C$9,Q28,Q55,Q82)</f>
        <v>0.190887043293421</v>
      </c>
      <c r="S100" s="11" t="n">
        <f aca="false">CHOOSE(DCF!$C$9,S28,S55,S82)</f>
        <v>0.219344092613677</v>
      </c>
      <c r="T100" s="11" t="n">
        <f aca="false">CHOOSE(DCF!$C$9,T28,T55,T82)</f>
        <v>0.212956386892763</v>
      </c>
      <c r="U100" s="11" t="n">
        <f aca="false">CHOOSE(DCF!$C$9,U28,U55,U82)</f>
        <v>0.213153212824168</v>
      </c>
    </row>
    <row r="101" customFormat="false" ht="15" hidden="false" customHeight="false" outlineLevel="0" collapsed="false">
      <c r="B101" s="9" t="s">
        <v>371</v>
      </c>
      <c r="F101" s="38" t="n">
        <f aca="false">CHOOSE(DCF!$C$9,F29,F56,F83)</f>
        <v>275.323472491015</v>
      </c>
      <c r="G101" s="38" t="n">
        <f aca="false">CHOOSE(DCF!$C$9,G29,G56,G83)</f>
        <v>292.898168171988</v>
      </c>
      <c r="H101" s="38" t="n">
        <f aca="false">CHOOSE(DCF!$C$9,H29,H56,H83)</f>
        <v>321.333128304263</v>
      </c>
      <c r="I101" s="38" t="n">
        <f aca="false">CHOOSE(DCF!$C$9,I29,I56,I83)</f>
        <v>270.999043002149</v>
      </c>
      <c r="J101" s="38" t="n">
        <f aca="false">CHOOSE(DCF!$C$9,J29,J56,J83)</f>
        <v>268.55799231291</v>
      </c>
      <c r="K101" s="38" t="n">
        <f aca="false">CHOOSE(DCF!$C$9,K29,K56,K83)</f>
        <v>291.199229172843</v>
      </c>
      <c r="L101" s="38" t="n">
        <f aca="false">CHOOSE(DCF!$C$9,L29,L56,L83)</f>
        <v>301.126315814625</v>
      </c>
      <c r="M101" s="38" t="n">
        <f aca="false">CHOOSE(DCF!$C$9,M29,M56,M83)</f>
        <v>259.15726129041</v>
      </c>
      <c r="N101" s="38" t="n">
        <f aca="false">CHOOSE(DCF!$C$9,N29,N56,N83)</f>
        <v>264.335699328988</v>
      </c>
      <c r="O101" s="38" t="n">
        <f aca="false">CHOOSE(DCF!$C$9,O29,O56,O83)</f>
        <v>287.481380219365</v>
      </c>
      <c r="P101" s="38" t="n">
        <f aca="false">CHOOSE(DCF!$C$9,P29,P56,P83)</f>
        <v>302.234060798936</v>
      </c>
      <c r="Q101" s="38" t="n">
        <f aca="false">CHOOSE(DCF!$C$9,Q29,Q56,Q83)</f>
        <v>260.355136389744</v>
      </c>
      <c r="S101" s="38" t="n">
        <f aca="false">CHOOSE(DCF!$C$9,S29,S56,S83)</f>
        <v>291.033609722134</v>
      </c>
      <c r="T101" s="38" t="n">
        <f aca="false">CHOOSE(DCF!$C$9,T29,T56,T83)</f>
        <v>280.58205363919</v>
      </c>
      <c r="U101" s="38" t="n">
        <f aca="false">CHOOSE(DCF!$C$9,U29,U56,U83)</f>
        <v>279.178955962874</v>
      </c>
    </row>
    <row r="102" customFormat="false" ht="15" hidden="false" customHeight="false" outlineLevel="0" collapsed="false">
      <c r="B102" s="19" t="s">
        <v>372</v>
      </c>
      <c r="F102" s="94" t="n">
        <f aca="false">CHOOSE(DCF!$C$9,F30,F57,F84)</f>
        <v>279.506016910501</v>
      </c>
      <c r="G102" s="94" t="n">
        <f aca="false">CHOOSE(DCF!$C$9,G30,G57,G84)</f>
        <v>304.343472729376</v>
      </c>
      <c r="H102" s="94" t="n">
        <f aca="false">CHOOSE(DCF!$C$9,H30,H57,H84)</f>
        <v>341.897126651708</v>
      </c>
      <c r="I102" s="94" t="n">
        <f aca="false">CHOOSE(DCF!$C$9,I30,I57,I84)</f>
        <v>275.801919177404</v>
      </c>
      <c r="J102" s="94" t="n">
        <f aca="false">CHOOSE(DCF!$C$9,J30,J57,J84)</f>
        <v>278.702956358517</v>
      </c>
      <c r="K102" s="94" t="n">
        <f aca="false">CHOOSE(DCF!$C$9,K30,K57,K84)</f>
        <v>298.106135332413</v>
      </c>
      <c r="L102" s="94" t="n">
        <f aca="false">CHOOSE(DCF!$C$9,L30,L57,L84)</f>
        <v>313.170129707691</v>
      </c>
      <c r="M102" s="94" t="n">
        <f aca="false">CHOOSE(DCF!$C$9,M30,M57,M84)</f>
        <v>256.493863994178</v>
      </c>
      <c r="N102" s="94" t="n">
        <f aca="false">CHOOSE(DCF!$C$9,N30,N57,N84)</f>
        <v>269.034449348032</v>
      </c>
      <c r="O102" s="94" t="n">
        <f aca="false">CHOOSE(DCF!$C$9,O30,O57,O84)</f>
        <v>292.862696435905</v>
      </c>
      <c r="P102" s="94" t="n">
        <f aca="false">CHOOSE(DCF!$C$9,P30,P57,P84)</f>
        <v>315.833350238453</v>
      </c>
      <c r="Q102" s="94" t="n">
        <f aca="false">CHOOSE(DCF!$C$9,Q30,Q57,Q84)</f>
        <v>260.282979718807</v>
      </c>
      <c r="S102" s="94" t="n">
        <f aca="false">CHOOSE(DCF!$C$9,S30,S57,S84)</f>
        <v>301.096195403052</v>
      </c>
      <c r="T102" s="94" t="n">
        <f aca="false">CHOOSE(DCF!$C$9,T30,T57,T84)</f>
        <v>287.030691121039</v>
      </c>
      <c r="U102" s="94" t="n">
        <f aca="false">CHOOSE(DCF!$C$9,U30,U57,U84)</f>
        <v>284.941878880263</v>
      </c>
    </row>
    <row r="103" customFormat="false" ht="15" hidden="false" customHeight="false" outlineLevel="0" collapsed="false">
      <c r="B103" s="19" t="s">
        <v>373</v>
      </c>
      <c r="J103" s="88" t="n">
        <f aca="false">CHOOSE(DCF!$C$9,J31,J58,J85)</f>
        <v>-0.00287314227028157</v>
      </c>
      <c r="K103" s="88" t="n">
        <f aca="false">CHOOSE(DCF!$C$9,K31,K58,K85)</f>
        <v>-0.0204944017396722</v>
      </c>
      <c r="L103" s="88" t="n">
        <f aca="false">CHOOSE(DCF!$C$9,L31,L58,L85)</f>
        <v>-0.0840223409460876</v>
      </c>
      <c r="M103" s="88" t="n">
        <f aca="false">CHOOSE(DCF!$C$9,M31,M58,M85)</f>
        <v>-0.0700069645665031</v>
      </c>
      <c r="N103" s="88" t="n">
        <f aca="false">CHOOSE(DCF!$C$9,N31,N58,N85)</f>
        <v>-0.0346910816333347</v>
      </c>
      <c r="O103" s="88" t="n">
        <f aca="false">CHOOSE(DCF!$C$9,O31,O58,O85)</f>
        <v>-0.0175891680010589</v>
      </c>
      <c r="P103" s="88" t="n">
        <f aca="false">CHOOSE(DCF!$C$9,P31,P58,P85)</f>
        <v>0.00850406944381232</v>
      </c>
      <c r="Q103" s="88" t="n">
        <f aca="false">CHOOSE(DCF!$C$9,Q31,Q58,Q85)</f>
        <v>0.0147727343867956</v>
      </c>
      <c r="S103" s="88" t="n">
        <f aca="false">CHOOSE(DCF!$C$9,S31,S58,S85)</f>
        <v>0.0229928520847233</v>
      </c>
      <c r="T103" s="88" t="n">
        <f aca="false">CHOOSE(DCF!$C$9,T31,T58,T85)</f>
        <v>-0.0467143208607601</v>
      </c>
      <c r="U103" s="88" t="n">
        <f aca="false">CHOOSE(DCF!$C$9,U31,U58,U85)</f>
        <v>-0.00727731321210889</v>
      </c>
    </row>
    <row r="104" customFormat="false" ht="15" hidden="false" customHeight="false" outlineLevel="0" collapsed="false">
      <c r="B104" s="9" t="s">
        <v>374</v>
      </c>
      <c r="F104" s="37" t="n">
        <f aca="false">CHOOSE(DCF!$C$9,F32,F59,F86)</f>
        <v>1418.684</v>
      </c>
      <c r="G104" s="37" t="n">
        <f aca="false">CHOOSE(DCF!$C$9,G32,G59,G86)</f>
        <v>1708.985</v>
      </c>
      <c r="H104" s="37" t="n">
        <f aca="false">CHOOSE(DCF!$C$9,H32,H59,H86)</f>
        <v>2049.959</v>
      </c>
      <c r="I104" s="37" t="n">
        <f aca="false">CHOOSE(DCF!$C$9,I32,I59,I86)</f>
        <v>1510.039</v>
      </c>
      <c r="J104" s="37" t="n">
        <f aca="false">CHOOSE(DCF!$C$9,J32,J59,J86)</f>
        <v>1542.321</v>
      </c>
      <c r="K104" s="37" t="n">
        <f aca="false">CHOOSE(DCF!$C$9,K32,K59,K86)</f>
        <v>1729.838</v>
      </c>
      <c r="L104" s="37" t="n">
        <f aca="false">CHOOSE(DCF!$C$9,L32,L59,L86)</f>
        <v>1909.71108422908</v>
      </c>
      <c r="M104" s="37" t="n">
        <f aca="false">CHOOSE(DCF!$C$9,M32,M59,M86)</f>
        <v>1408.40177297982</v>
      </c>
      <c r="N104" s="37" t="n">
        <f aca="false">CHOOSE(DCF!$C$9,N32,N59,N86)</f>
        <v>1534.37432792384</v>
      </c>
      <c r="O104" s="37" t="n">
        <f aca="false">CHOOSE(DCF!$C$9,O32,O59,O86)</f>
        <v>1699.09588667145</v>
      </c>
      <c r="P104" s="37" t="n">
        <f aca="false">CHOOSE(DCF!$C$9,P32,P59,P86)</f>
        <v>2023.50502928135</v>
      </c>
      <c r="Q104" s="37" t="n">
        <f aca="false">CHOOSE(DCF!$C$9,Q32,Q59,Q86)</f>
        <v>1497.00464062325</v>
      </c>
      <c r="S104" s="37" t="n">
        <f aca="false">CHOOSE(DCF!$C$9,S32,S59,S86)</f>
        <v>6687.667</v>
      </c>
      <c r="T104" s="37" t="n">
        <f aca="false">CHOOSE(DCF!$C$9,T32,T59,T86)</f>
        <v>6590.2718572089</v>
      </c>
      <c r="U104" s="37" t="n">
        <f aca="false">CHOOSE(DCF!$C$9,U32,U59,U86)</f>
        <v>6753.97988449989</v>
      </c>
    </row>
    <row r="105" customFormat="false" ht="15" hidden="false" customHeight="false" outlineLevel="0" collapsed="false">
      <c r="B105" s="9" t="s">
        <v>375</v>
      </c>
      <c r="F105" s="37" t="n">
        <f aca="false">CHOOSE(DCF!$C$9,F33,F60,F87)</f>
        <v>708.869</v>
      </c>
      <c r="G105" s="37" t="n">
        <f aca="false">CHOOSE(DCF!$C$9,G33,G60,G87)</f>
        <v>808.512</v>
      </c>
      <c r="H105" s="37" t="n">
        <f aca="false">CHOOSE(DCF!$C$9,H33,H60,H87)</f>
        <v>888.183</v>
      </c>
      <c r="I105" s="37" t="n">
        <f aca="false">CHOOSE(DCF!$C$9,I33,I60,I87)</f>
        <v>734.361</v>
      </c>
      <c r="J105" s="37" t="n">
        <f aca="false">CHOOSE(DCF!$C$9,J33,J60,J87)</f>
        <v>788.9</v>
      </c>
      <c r="K105" s="37" t="n">
        <f aca="false">CHOOSE(DCF!$C$9,K33,K60,K87)</f>
        <v>910.706</v>
      </c>
      <c r="L105" s="37" t="n">
        <f aca="false">CHOOSE(DCF!$C$9,L33,L60,L87)</f>
        <v>956.658912308001</v>
      </c>
      <c r="M105" s="37" t="n">
        <f aca="false">CHOOSE(DCF!$C$9,M33,M60,M87)</f>
        <v>759.561636667389</v>
      </c>
      <c r="N105" s="37" t="n">
        <f aca="false">CHOOSE(DCF!$C$9,N33,N60,N87)</f>
        <v>815.544263382446</v>
      </c>
      <c r="O105" s="37" t="n">
        <f aca="false">CHOOSE(DCF!$C$9,O33,O60,O87)</f>
        <v>920.584088623662</v>
      </c>
      <c r="P105" s="37" t="n">
        <f aca="false">CHOOSE(DCF!$C$9,P33,P60,P87)</f>
        <v>1028.19422058325</v>
      </c>
      <c r="Q105" s="37" t="n">
        <f aca="false">CHOOSE(DCF!$C$9,Q33,Q60,Q87)</f>
        <v>821.578017139669</v>
      </c>
      <c r="S105" s="37" t="n">
        <f aca="false">CHOOSE(DCF!$C$9,S33,S60,S87)</f>
        <v>3139.925</v>
      </c>
      <c r="T105" s="37" t="n">
        <f aca="false">CHOOSE(DCF!$C$9,T33,T60,T87)</f>
        <v>3415.82654897539</v>
      </c>
      <c r="U105" s="37" t="n">
        <f aca="false">CHOOSE(DCF!$C$9,U33,U60,U87)</f>
        <v>3585.90058972903</v>
      </c>
    </row>
    <row r="106" customFormat="false" ht="15" hidden="false" customHeight="false" outlineLevel="0" collapsed="false">
      <c r="B106" s="9" t="s">
        <v>376</v>
      </c>
      <c r="F106" s="37" t="n">
        <f aca="false">CHOOSE(DCF!$C$9,F34,F61,F88)</f>
        <v>2127.553</v>
      </c>
      <c r="G106" s="37" t="n">
        <f aca="false">CHOOSE(DCF!$C$9,G34,G61,G88)</f>
        <v>2517.497</v>
      </c>
      <c r="H106" s="37" t="n">
        <f aca="false">CHOOSE(DCF!$C$9,H34,H61,H88)</f>
        <v>2938.142</v>
      </c>
      <c r="I106" s="37" t="n">
        <f aca="false">CHOOSE(DCF!$C$9,I34,I61,I88)</f>
        <v>2244.4</v>
      </c>
      <c r="J106" s="37" t="n">
        <f aca="false">CHOOSE(DCF!$C$9,J34,J61,J88)</f>
        <v>2331.221</v>
      </c>
      <c r="K106" s="37" t="n">
        <f aca="false">CHOOSE(DCF!$C$9,K34,K61,K88)</f>
        <v>2640.544</v>
      </c>
      <c r="L106" s="37" t="n">
        <f aca="false">CHOOSE(DCF!$C$9,L34,L61,L88)</f>
        <v>2866.36999653708</v>
      </c>
      <c r="M106" s="37" t="n">
        <f aca="false">CHOOSE(DCF!$C$9,M34,M61,M88)</f>
        <v>2167.96340964721</v>
      </c>
      <c r="N106" s="37" t="n">
        <f aca="false">CHOOSE(DCF!$C$9,N34,N61,N88)</f>
        <v>2349.91859130629</v>
      </c>
      <c r="O106" s="37" t="n">
        <f aca="false">CHOOSE(DCF!$C$9,O34,O61,O88)</f>
        <v>2619.67997529511</v>
      </c>
      <c r="P106" s="37" t="n">
        <f aca="false">CHOOSE(DCF!$C$9,P34,P61,P88)</f>
        <v>3051.6992498646</v>
      </c>
      <c r="Q106" s="37" t="n">
        <f aca="false">CHOOSE(DCF!$C$9,Q34,Q61,Q88)</f>
        <v>2318.58265776292</v>
      </c>
      <c r="S106" s="37" t="n">
        <f aca="false">CHOOSE(DCF!$C$9,S34,S61,S88)</f>
        <v>9827.592</v>
      </c>
      <c r="T106" s="37" t="n">
        <f aca="false">CHOOSE(DCF!$C$9,T34,T61,T88)</f>
        <v>10006.0984061843</v>
      </c>
      <c r="U106" s="37" t="n">
        <f aca="false">CHOOSE(DCF!$C$9,U34,U61,U88)</f>
        <v>10339.8804742289</v>
      </c>
    </row>
    <row r="107" customFormat="false" ht="15" hidden="false" customHeight="false" outlineLevel="0" collapsed="false">
      <c r="B107" s="9" t="s">
        <v>377</v>
      </c>
      <c r="F107" s="37" t="n">
        <f aca="false">CHOOSE(DCF!$C$9,F35,F62,F89)</f>
        <v>395.343</v>
      </c>
      <c r="G107" s="37" t="n">
        <f aca="false">CHOOSE(DCF!$C$9,G35,G62,G89)</f>
        <v>487.835</v>
      </c>
      <c r="H107" s="37" t="n">
        <f aca="false">CHOOSE(DCF!$C$9,H35,H62,H89)</f>
        <v>521.981</v>
      </c>
      <c r="I107" s="37" t="n">
        <f aca="false">CHOOSE(DCF!$C$9,I35,I62,I89)</f>
        <v>376.845</v>
      </c>
      <c r="J107" s="37" t="n">
        <f aca="false">CHOOSE(DCF!$C$9,J35,J62,J89)</f>
        <v>397.605</v>
      </c>
      <c r="K107" s="37" t="n">
        <f aca="false">CHOOSE(DCF!$C$9,K35,K62,K89)</f>
        <v>484.668</v>
      </c>
      <c r="L107" s="37" t="n">
        <f aca="false">CHOOSE(DCF!$C$9,L35,L62,L89)</f>
        <v>497.727943829155</v>
      </c>
      <c r="M107" s="37" t="n">
        <f aca="false">CHOOSE(DCF!$C$9,M35,M62,M89)</f>
        <v>364.156051984352</v>
      </c>
      <c r="N107" s="37" t="n">
        <f aca="false">CHOOSE(DCF!$C$9,N35,N62,N89)</f>
        <v>415.50400897392</v>
      </c>
      <c r="O107" s="37" t="n">
        <f aca="false">CHOOSE(DCF!$C$9,O35,O62,O89)</f>
        <v>494.74384454235</v>
      </c>
      <c r="P107" s="37" t="n">
        <f aca="false">CHOOSE(DCF!$C$9,P35,P62,P89)</f>
        <v>542.562344107679</v>
      </c>
      <c r="Q107" s="37" t="n">
        <f aca="false">CHOOSE(DCF!$C$9,Q35,Q62,Q89)</f>
        <v>394.549464613354</v>
      </c>
      <c r="S107" s="37" t="n">
        <f aca="false">CHOOSE(DCF!$C$9,S35,S62,S89)</f>
        <v>1782.004</v>
      </c>
      <c r="T107" s="37" t="n">
        <f aca="false">CHOOSE(DCF!$C$9,T35,T62,T89)</f>
        <v>1744.15699581351</v>
      </c>
      <c r="U107" s="37" t="n">
        <f aca="false">CHOOSE(DCF!$C$9,U35,U62,U89)</f>
        <v>1847.3596622373</v>
      </c>
    </row>
    <row r="108" customFormat="false" ht="15" hidden="false" customHeight="false" outlineLevel="0" collapsed="false">
      <c r="B108" s="9" t="s">
        <v>378</v>
      </c>
      <c r="F108" s="37" t="n">
        <f aca="false">CHOOSE(DCF!$C$9,F36,F63,F90)</f>
        <v>138.858</v>
      </c>
      <c r="G108" s="37" t="n">
        <f aca="false">CHOOSE(DCF!$C$9,G36,G63,G90)</f>
        <v>187.684</v>
      </c>
      <c r="H108" s="37" t="n">
        <f aca="false">CHOOSE(DCF!$C$9,H36,H63,H90)</f>
        <v>222.002</v>
      </c>
      <c r="I108" s="37" t="n">
        <f aca="false">CHOOSE(DCF!$C$9,I36,I63,I90)</f>
        <v>140.18</v>
      </c>
      <c r="J108" s="37" t="n">
        <f aca="false">CHOOSE(DCF!$C$9,J36,J63,J90)</f>
        <v>151.868</v>
      </c>
      <c r="K108" s="37" t="n">
        <f aca="false">CHOOSE(DCF!$C$9,K36,K63,K90)</f>
        <v>191.446</v>
      </c>
      <c r="L108" s="37" t="n">
        <f aca="false">CHOOSE(DCF!$C$9,L36,L63,L90)</f>
        <v>239.117605099626</v>
      </c>
      <c r="M108" s="37" t="n">
        <f aca="false">CHOOSE(DCF!$C$9,M36,M63,M90)</f>
        <v>144.99047502255</v>
      </c>
      <c r="N108" s="37" t="n">
        <f aca="false">CHOOSE(DCF!$C$9,N36,N63,N90)</f>
        <v>156.997181127349</v>
      </c>
      <c r="O108" s="37" t="n">
        <f aca="false">CHOOSE(DCF!$C$9,O36,O63,O90)</f>
        <v>193.522543423065</v>
      </c>
      <c r="P108" s="37" t="n">
        <f aca="false">CHOOSE(DCF!$C$9,P36,P63,P90)</f>
        <v>256.997908491744</v>
      </c>
      <c r="Q108" s="37" t="n">
        <f aca="false">CHOOSE(DCF!$C$9,Q36,Q63,Q90)</f>
        <v>156.828598526663</v>
      </c>
      <c r="S108" s="37" t="n">
        <f aca="false">CHOOSE(DCF!$C$9,S36,S63,S90)</f>
        <v>688.724</v>
      </c>
      <c r="T108" s="37" t="n">
        <f aca="false">CHOOSE(DCF!$C$9,T36,T63,T90)</f>
        <v>727.422080122176</v>
      </c>
      <c r="U108" s="37" t="n">
        <f aca="false">CHOOSE(DCF!$C$9,U36,U63,U90)</f>
        <v>764.346231568821</v>
      </c>
    </row>
    <row r="109" customFormat="false" ht="15" hidden="false" customHeight="false" outlineLevel="0" collapsed="false">
      <c r="B109" s="19" t="s">
        <v>231</v>
      </c>
      <c r="F109" s="85" t="n">
        <f aca="false">CHOOSE(DCF!$C$9,F37,F64,F91)</f>
        <v>1593.352</v>
      </c>
      <c r="G109" s="85" t="n">
        <f aca="false">CHOOSE(DCF!$C$9,G37,G64,G91)</f>
        <v>1841.978</v>
      </c>
      <c r="H109" s="85" t="n">
        <f aca="false">CHOOSE(DCF!$C$9,H37,H64,H91)</f>
        <v>2194.159</v>
      </c>
      <c r="I109" s="85" t="n">
        <f aca="false">CHOOSE(DCF!$C$9,I37,I64,I91)</f>
        <v>1727.375</v>
      </c>
      <c r="J109" s="85" t="n">
        <f aca="false">CHOOSE(DCF!$C$9,J37,J64,J91)</f>
        <v>1781.748</v>
      </c>
      <c r="K109" s="85" t="n">
        <f aca="false">CHOOSE(DCF!$C$9,K37,K64,K91)</f>
        <v>1964.43</v>
      </c>
      <c r="L109" s="85" t="n">
        <f aca="false">CHOOSE(DCF!$C$9,L37,L64,L91)</f>
        <v>2129.5244476083</v>
      </c>
      <c r="M109" s="85" t="n">
        <f aca="false">CHOOSE(DCF!$C$9,M37,M64,M91)</f>
        <v>1658.81688264031</v>
      </c>
      <c r="N109" s="85" t="n">
        <f aca="false">CHOOSE(DCF!$C$9,N37,N64,N91)</f>
        <v>1777.41740120502</v>
      </c>
      <c r="O109" s="85" t="n">
        <f aca="false">CHOOSE(DCF!$C$9,O37,O64,O91)</f>
        <v>1931.41358732969</v>
      </c>
      <c r="P109" s="85" t="n">
        <f aca="false">CHOOSE(DCF!$C$9,P37,P64,P91)</f>
        <v>2252.13899726518</v>
      </c>
      <c r="Q109" s="85" t="n">
        <f aca="false">CHOOSE(DCF!$C$9,Q37,Q64,Q91)</f>
        <v>1767.20459462291</v>
      </c>
      <c r="S109" s="85" t="n">
        <f aca="false">CHOOSE(DCF!$C$9,S37,S64,S91)</f>
        <v>7356.864</v>
      </c>
      <c r="T109" s="85" t="n">
        <f aca="false">CHOOSE(DCF!$C$9,T37,T64,T91)</f>
        <v>7534.51933024861</v>
      </c>
      <c r="U109" s="85" t="n">
        <f aca="false">CHOOSE(DCF!$C$9,U37,U64,U91)</f>
        <v>7728.1745804228</v>
      </c>
    </row>
    <row r="110" customFormat="false" ht="15" hidden="false" customHeight="false" outlineLevel="0" collapsed="false">
      <c r="B110" s="9" t="s">
        <v>384</v>
      </c>
      <c r="L110" s="107" t="n">
        <v>-0.089</v>
      </c>
      <c r="M110" s="107" t="n">
        <v>-0.065</v>
      </c>
      <c r="T110" s="107" t="n">
        <v>-0.05</v>
      </c>
    </row>
    <row r="111" customFormat="false" ht="15" hidden="false" customHeight="false" outlineLevel="0" collapsed="false">
      <c r="B111" s="9" t="s">
        <v>385</v>
      </c>
      <c r="L111" s="25" t="n">
        <f aca="false">(L103-L110)*100</f>
        <v>0.497765905391237</v>
      </c>
      <c r="M111" s="25" t="n">
        <f aca="false">(M103-M110)*100</f>
        <v>-0.500696456650313</v>
      </c>
      <c r="T111" s="25" t="n">
        <f aca="false">(T103-T110)*100</f>
        <v>0.32856791392399</v>
      </c>
    </row>
    <row r="113" customFormat="false" ht="15" hidden="false" customHeight="false" outlineLevel="0" collapsed="false">
      <c r="B113" s="4" t="s">
        <v>386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customFormat="false" ht="15" hidden="false" customHeight="false" outlineLevel="0" collapsed="false">
      <c r="B114" s="9" t="s">
        <v>231</v>
      </c>
      <c r="F114" s="37" t="n">
        <f aca="false">F109</f>
        <v>1593.352</v>
      </c>
      <c r="G114" s="37" t="n">
        <f aca="false">G109</f>
        <v>1841.978</v>
      </c>
      <c r="H114" s="37" t="n">
        <f aca="false">H109</f>
        <v>2194.159</v>
      </c>
      <c r="I114" s="37" t="n">
        <f aca="false">I109</f>
        <v>1727.375</v>
      </c>
      <c r="J114" s="37" t="n">
        <f aca="false">J109</f>
        <v>1781.748</v>
      </c>
      <c r="K114" s="37" t="n">
        <f aca="false">K109</f>
        <v>1964.43</v>
      </c>
      <c r="L114" s="37" t="n">
        <f aca="false">L109</f>
        <v>2129.5244476083</v>
      </c>
      <c r="M114" s="37" t="n">
        <f aca="false">M109</f>
        <v>1658.81688264031</v>
      </c>
      <c r="N114" s="37" t="n">
        <f aca="false">N109</f>
        <v>1777.41740120502</v>
      </c>
      <c r="O114" s="37" t="n">
        <f aca="false">O109</f>
        <v>1931.41358732969</v>
      </c>
      <c r="P114" s="37" t="n">
        <f aca="false">P109</f>
        <v>2252.13899726518</v>
      </c>
      <c r="Q114" s="37" t="n">
        <f aca="false">Q109</f>
        <v>1767.20459462291</v>
      </c>
      <c r="S114" s="37" t="n">
        <f aca="false">SUM(F114:I114)</f>
        <v>7356.864</v>
      </c>
      <c r="T114" s="37" t="n">
        <f aca="false">SUM(J114:M114)</f>
        <v>7534.51933024861</v>
      </c>
      <c r="U114" s="37" t="n">
        <f aca="false">SUM(N114:Q114)</f>
        <v>7728.1745804228</v>
      </c>
    </row>
    <row r="115" customFormat="false" ht="15" hidden="false" customHeight="false" outlineLevel="0" collapsed="false">
      <c r="B115" s="9" t="s">
        <v>387</v>
      </c>
      <c r="C115" s="9" t="s">
        <v>388</v>
      </c>
      <c r="N115" s="37" t="n">
        <f aca="false">J116*N94/J94</f>
        <v>1116.01600819536</v>
      </c>
      <c r="O115" s="37" t="n">
        <f aca="false">K116*O94/K94</f>
        <v>1080.39035941791</v>
      </c>
      <c r="P115" s="37" t="n">
        <f aca="false">L116*P94/L94</f>
        <v>1100.02129663711</v>
      </c>
      <c r="Q115" s="37" t="n">
        <f aca="false">M116*Q94/M94</f>
        <v>1087.62210265056</v>
      </c>
    </row>
    <row r="116" customFormat="false" ht="15" hidden="false" customHeight="false" outlineLevel="0" collapsed="false">
      <c r="B116" s="9" t="s">
        <v>284</v>
      </c>
      <c r="F116" s="35" t="n">
        <f aca="false">'Quarterly (A)'!E21</f>
        <v>965.265</v>
      </c>
      <c r="G116" s="35" t="n">
        <f aca="false">'Quarterly (A)'!F21</f>
        <v>990.554</v>
      </c>
      <c r="H116" s="35" t="n">
        <f aca="false">'Quarterly (A)'!G21</f>
        <v>998.994</v>
      </c>
      <c r="I116" s="35" t="n">
        <f aca="false">'Quarterly (A)'!H21</f>
        <v>995.938</v>
      </c>
      <c r="J116" s="35" t="n">
        <f aca="false">'Quarterly (A)'!I21</f>
        <v>1079.925</v>
      </c>
      <c r="K116" s="35" t="n">
        <f aca="false">'Quarterly (A)'!J21</f>
        <v>1079.531</v>
      </c>
      <c r="L116" s="37" t="n">
        <f aca="false">H116/H94*(1+Consensus!$C$47)*L94</f>
        <v>1048.97753592678</v>
      </c>
      <c r="M116" s="37" t="n">
        <f aca="false">'Operating Model'!$H$46-SUM(J116:L116)</f>
        <v>1035.99683652724</v>
      </c>
      <c r="N116" s="37" t="n">
        <f aca="false">'Operating Model'!$I$46*N115/SUM($N$115:$Q$115)</f>
        <v>1127.53274174034</v>
      </c>
      <c r="O116" s="37" t="n">
        <f aca="false">'Operating Model'!$I$46*O115/SUM($N$115:$Q$115)</f>
        <v>1091.53945387767</v>
      </c>
      <c r="P116" s="37" t="n">
        <f aca="false">'Operating Model'!$I$46*P115/SUM($N$115:$Q$115)</f>
        <v>1111.37297266518</v>
      </c>
      <c r="Q116" s="37" t="n">
        <f aca="false">'Operating Model'!$I$46*Q115/SUM($N$115:$Q$115)</f>
        <v>1098.84582512575</v>
      </c>
      <c r="S116" s="37" t="n">
        <f aca="false">SUM(F116:I116)</f>
        <v>3950.751</v>
      </c>
      <c r="T116" s="37" t="n">
        <f aca="false">SUM(J116:M116)</f>
        <v>4244.43037245402</v>
      </c>
      <c r="U116" s="37" t="n">
        <f aca="false">SUM(N116:Q116)</f>
        <v>4429.29099340894</v>
      </c>
    </row>
    <row r="117" customFormat="false" ht="15" hidden="false" customHeight="false" outlineLevel="0" collapsed="false">
      <c r="B117" s="9" t="s">
        <v>389</v>
      </c>
      <c r="F117" s="35" t="n">
        <f aca="false">'Quarterly (A)'!E11</f>
        <v>175.014</v>
      </c>
      <c r="G117" s="35" t="n">
        <f aca="false">'Quarterly (A)'!F11</f>
        <v>157.377</v>
      </c>
      <c r="H117" s="35" t="n">
        <f aca="false">'Quarterly (A)'!G11</f>
        <v>175.913</v>
      </c>
      <c r="I117" s="35" t="n">
        <f aca="false">'Quarterly (A)'!H11</f>
        <v>167.583</v>
      </c>
      <c r="J117" s="35" t="n">
        <f aca="false">'Quarterly (A)'!I11</f>
        <v>168.926</v>
      </c>
      <c r="K117" s="35" t="n">
        <f aca="false">'Quarterly (A)'!J11</f>
        <v>219.384</v>
      </c>
      <c r="L117" s="97" t="n">
        <v>195</v>
      </c>
      <c r="M117" s="37" t="n">
        <f aca="false">'Operating Model'!$H$49-SUM(J117:L117)</f>
        <v>234.79</v>
      </c>
      <c r="N117" s="37" t="n">
        <f aca="false">'Operating Model'!$I$49*N94/SUM($N$94:$Q$94)</f>
        <v>201.326467852627</v>
      </c>
      <c r="O117" s="37" t="n">
        <f aca="false">'Operating Model'!$I$49*O94/SUM($N$94:$Q$94)</f>
        <v>200.969691700369</v>
      </c>
      <c r="P117" s="37" t="n">
        <f aca="false">'Operating Model'!$I$49*P94/SUM($N$94:$Q$94)</f>
        <v>217.298407842453</v>
      </c>
      <c r="Q117" s="37" t="n">
        <f aca="false">'Operating Model'!$I$49*Q94/SUM($N$94:$Q$94)</f>
        <v>206.899958123567</v>
      </c>
      <c r="S117" s="37" t="n">
        <f aca="false">SUM(F117:I117)</f>
        <v>675.887</v>
      </c>
      <c r="T117" s="37" t="n">
        <f aca="false">SUM(J117:M117)</f>
        <v>818.1</v>
      </c>
      <c r="U117" s="37" t="n">
        <f aca="false">SUM(N117:Q117)</f>
        <v>826.494525519016</v>
      </c>
    </row>
    <row r="118" customFormat="false" ht="15" hidden="false" customHeight="false" outlineLevel="0" collapsed="false">
      <c r="B118" s="19" t="s">
        <v>64</v>
      </c>
      <c r="F118" s="85" t="n">
        <f aca="false">F114-F116-F117</f>
        <v>453.073</v>
      </c>
      <c r="G118" s="85" t="n">
        <f aca="false">G114-G116-G117</f>
        <v>694.046999999999</v>
      </c>
      <c r="H118" s="85" t="n">
        <f aca="false">H114-H116-H117</f>
        <v>1019.252</v>
      </c>
      <c r="I118" s="85" t="n">
        <f aca="false">I114-I116-I117</f>
        <v>563.854</v>
      </c>
      <c r="J118" s="85" t="n">
        <f aca="false">J114-J116-J117</f>
        <v>532.897</v>
      </c>
      <c r="K118" s="85" t="n">
        <f aca="false">K114-K116-K117</f>
        <v>665.515</v>
      </c>
      <c r="L118" s="85" t="n">
        <f aca="false">L114-L116-L117</f>
        <v>885.546911681521</v>
      </c>
      <c r="M118" s="85" t="n">
        <f aca="false">M114-M116-M117</f>
        <v>388.030046113071</v>
      </c>
      <c r="N118" s="85" t="n">
        <f aca="false">N114-N116-N117</f>
        <v>448.558191612056</v>
      </c>
      <c r="O118" s="85" t="n">
        <f aca="false">O114-O116-O117</f>
        <v>638.904441751652</v>
      </c>
      <c r="P118" s="85" t="n">
        <f aca="false">P114-P116-P117</f>
        <v>923.46761675754</v>
      </c>
      <c r="Q118" s="85" t="n">
        <f aca="false">Q114-Q116-Q117</f>
        <v>461.458811373589</v>
      </c>
      <c r="S118" s="85" t="n">
        <f aca="false">SUM(F118:I118)</f>
        <v>2730.226</v>
      </c>
      <c r="T118" s="85" t="n">
        <f aca="false">SUM(J118:M118)</f>
        <v>2471.98895779459</v>
      </c>
      <c r="U118" s="85" t="n">
        <f aca="false">SUM(N118:Q118)</f>
        <v>2472.38906149484</v>
      </c>
    </row>
    <row r="119" customFormat="false" ht="15" hidden="false" customHeight="false" outlineLevel="0" collapsed="false">
      <c r="B119" s="9" t="s">
        <v>390</v>
      </c>
      <c r="F119" s="35" t="n">
        <f aca="false">'Quarterly (A)'!E16</f>
        <v>231.297</v>
      </c>
      <c r="G119" s="35" t="n">
        <f aca="false">'Quarterly (A)'!F16</f>
        <v>243.76</v>
      </c>
      <c r="H119" s="35" t="n">
        <f aca="false">'Quarterly (A)'!G16</f>
        <v>250.832</v>
      </c>
      <c r="I119" s="35" t="n">
        <f aca="false">'Quarterly (A)'!H16</f>
        <v>352.866</v>
      </c>
      <c r="J119" s="35" t="n">
        <f aca="false">'Quarterly (A)'!I16</f>
        <v>260.716</v>
      </c>
      <c r="K119" s="35" t="n">
        <f aca="false">'Quarterly (A)'!J16</f>
        <v>271.205</v>
      </c>
      <c r="L119" s="37" t="n">
        <f aca="false">('Operating Model'!$H$54-SUM($J$119:$K$119))/2</f>
        <v>276.5395</v>
      </c>
      <c r="M119" s="37" t="n">
        <f aca="false">('Operating Model'!$H$54-SUM($J$119:$K$119))/2</f>
        <v>276.5395</v>
      </c>
      <c r="N119" s="37" t="n">
        <f aca="false">'Operating Model'!$I$54/4</f>
        <v>287.5</v>
      </c>
      <c r="O119" s="37" t="n">
        <f aca="false">'Operating Model'!$I$54/4</f>
        <v>287.5</v>
      </c>
      <c r="P119" s="37" t="n">
        <f aca="false">'Operating Model'!$I$54/4</f>
        <v>287.5</v>
      </c>
      <c r="Q119" s="37" t="n">
        <f aca="false">'Operating Model'!$I$54/4</f>
        <v>287.5</v>
      </c>
      <c r="S119" s="37" t="n">
        <f aca="false">SUM(F119:I119)</f>
        <v>1078.755</v>
      </c>
      <c r="T119" s="37" t="n">
        <f aca="false">SUM(J119:M119)</f>
        <v>1085</v>
      </c>
      <c r="U119" s="37" t="n">
        <f aca="false">SUM(N119:Q119)</f>
        <v>1150</v>
      </c>
    </row>
    <row r="120" customFormat="false" ht="15" hidden="false" customHeight="false" outlineLevel="0" collapsed="false">
      <c r="B120" s="9" t="s">
        <v>391</v>
      </c>
      <c r="F120" s="35" t="n">
        <f aca="false">-'Quarterly (A)'!E18</f>
        <v>217.872</v>
      </c>
      <c r="G120" s="35" t="n">
        <f aca="false">-'Quarterly (A)'!F18</f>
        <v>236.782</v>
      </c>
      <c r="H120" s="35" t="n">
        <f aca="false">-'Quarterly (A)'!G18</f>
        <v>328.816</v>
      </c>
      <c r="I120" s="35" t="n">
        <f aca="false">-'Quarterly (A)'!H18</f>
        <v>170.036</v>
      </c>
      <c r="J120" s="35" t="n">
        <f aca="false">-'Quarterly (A)'!I18</f>
        <v>165.987</v>
      </c>
      <c r="K120" s="35" t="n">
        <f aca="false">-'Quarterly (A)'!J18</f>
        <v>170.887</v>
      </c>
      <c r="L120" s="37" t="n">
        <f aca="false">('Operating Model'!$H$56-SUM($J$120:$K$120))/2</f>
        <v>184.063</v>
      </c>
      <c r="M120" s="37" t="n">
        <f aca="false">('Operating Model'!$H$56-SUM($J$120:$K$120))/2</f>
        <v>184.063</v>
      </c>
      <c r="N120" s="37" t="n">
        <f aca="false">'Operating Model'!$I$56/4</f>
        <v>217.5</v>
      </c>
      <c r="O120" s="37" t="n">
        <f aca="false">'Operating Model'!$I$56/4</f>
        <v>217.5</v>
      </c>
      <c r="P120" s="37" t="n">
        <f aca="false">'Operating Model'!$I$56/4</f>
        <v>217.5</v>
      </c>
      <c r="Q120" s="37" t="n">
        <f aca="false">'Operating Model'!$I$56/4</f>
        <v>217.5</v>
      </c>
      <c r="S120" s="37" t="n">
        <f aca="false">SUM(F120:I120)</f>
        <v>953.506</v>
      </c>
      <c r="T120" s="37" t="n">
        <f aca="false">SUM(J120:M120)</f>
        <v>705</v>
      </c>
      <c r="U120" s="37" t="n">
        <f aca="false">SUM(N120:Q120)</f>
        <v>870</v>
      </c>
    </row>
    <row r="121" customFormat="false" ht="15" hidden="false" customHeight="false" outlineLevel="0" collapsed="false">
      <c r="B121" s="9" t="s">
        <v>392</v>
      </c>
      <c r="L121" s="37" t="n">
        <f aca="false">L118-L119-L120</f>
        <v>424.944411681521</v>
      </c>
      <c r="M121" s="37" t="n">
        <f aca="false">M118-M119-M120</f>
        <v>-72.5724538869293</v>
      </c>
      <c r="N121" s="37" t="n">
        <f aca="false">N118-N119-N120</f>
        <v>-56.4418083879439</v>
      </c>
      <c r="O121" s="37" t="n">
        <f aca="false">O118-O119-O120</f>
        <v>133.904441751652</v>
      </c>
      <c r="P121" s="37" t="n">
        <f aca="false">P118-P119-P120</f>
        <v>418.46761675754</v>
      </c>
      <c r="Q121" s="37" t="n">
        <f aca="false">Q118-Q119-Q120</f>
        <v>-43.5411886264108</v>
      </c>
    </row>
    <row r="122" customFormat="false" ht="15" hidden="false" customHeight="false" outlineLevel="0" collapsed="false">
      <c r="B122" s="9" t="s">
        <v>393</v>
      </c>
      <c r="L122" s="37" t="n">
        <f aca="false">L121*'Operating Model'!$H$60</f>
        <v>8.49888823363042</v>
      </c>
      <c r="M122" s="37" t="n">
        <f aca="false">M121*'Operating Model'!$H$60</f>
        <v>-1.45144907773859</v>
      </c>
      <c r="N122" s="37" t="n">
        <f aca="false">N121*'Operating Model'!$I$60</f>
        <v>-1.12883616775888</v>
      </c>
      <c r="O122" s="37" t="n">
        <f aca="false">O121*'Operating Model'!$I$60</f>
        <v>2.67808883503305</v>
      </c>
      <c r="P122" s="37" t="n">
        <f aca="false">P121*'Operating Model'!$I$60</f>
        <v>8.3693523351508</v>
      </c>
      <c r="Q122" s="37" t="n">
        <f aca="false">Q121*'Operating Model'!$I$60</f>
        <v>-0.870823772528215</v>
      </c>
    </row>
    <row r="123" customFormat="false" ht="15" hidden="false" customHeight="false" outlineLevel="0" collapsed="false">
      <c r="B123" s="9" t="s">
        <v>394</v>
      </c>
      <c r="F123" s="35" t="n">
        <f aca="false">'Quarterly (A)'!E25</f>
        <v>46.53</v>
      </c>
      <c r="G123" s="35" t="n">
        <f aca="false">'Quarterly (A)'!F25</f>
        <v>257.271</v>
      </c>
      <c r="H123" s="35" t="n">
        <f aca="false">'Quarterly (A)'!G25</f>
        <v>610.532</v>
      </c>
      <c r="I123" s="35" t="n">
        <f aca="false">'Quarterly (A)'!H25</f>
        <v>130.419</v>
      </c>
      <c r="J123" s="35" t="n">
        <f aca="false">'Quarterly (A)'!I25</f>
        <v>107.526</v>
      </c>
      <c r="K123" s="35" t="n">
        <f aca="false">'Quarterly (A)'!J25</f>
        <v>221.99</v>
      </c>
      <c r="L123" s="37" t="n">
        <f aca="false">L121-L122</f>
        <v>416.445523447891</v>
      </c>
      <c r="M123" s="37" t="n">
        <f aca="false">M121-M122</f>
        <v>-71.1210048091908</v>
      </c>
      <c r="N123" s="37" t="n">
        <f aca="false">N121-N122</f>
        <v>-55.312972220185</v>
      </c>
      <c r="O123" s="37" t="n">
        <f aca="false">O121-O122</f>
        <v>131.226352916619</v>
      </c>
      <c r="P123" s="37" t="n">
        <f aca="false">P121-P122</f>
        <v>410.098264422389</v>
      </c>
      <c r="Q123" s="37" t="n">
        <f aca="false">Q121-Q122</f>
        <v>-42.6703648538825</v>
      </c>
      <c r="S123" s="37" t="n">
        <f aca="false">SUM(F123:I123)</f>
        <v>1044.752</v>
      </c>
      <c r="T123" s="37" t="n">
        <f aca="false">SUM(J123:M123)</f>
        <v>674.8405186387</v>
      </c>
      <c r="U123" s="37" t="n">
        <f aca="false">SUM(N123:Q123)</f>
        <v>443.341280264941</v>
      </c>
    </row>
    <row r="124" customFormat="false" ht="15" hidden="false" customHeight="false" outlineLevel="0" collapsed="false">
      <c r="B124" s="9" t="s">
        <v>162</v>
      </c>
      <c r="F124" s="35" t="n">
        <f aca="false">'Quarterly (A)'!E26</f>
        <v>446.3613</v>
      </c>
      <c r="G124" s="35" t="n">
        <f aca="false">'Quarterly (A)'!F26</f>
        <v>502.2517</v>
      </c>
      <c r="H124" s="35" t="n">
        <f aca="false">'Quarterly (A)'!G26</f>
        <v>495.73</v>
      </c>
      <c r="I124" s="35" t="n">
        <f aca="false">'Quarterly (A)'!H26</f>
        <v>465.9181</v>
      </c>
      <c r="J124" s="35" t="n">
        <f aca="false">'Quarterly (A)'!I26</f>
        <v>466.1451</v>
      </c>
      <c r="K124" s="35" t="n">
        <f aca="false">'Quarterly (A)'!J26</f>
        <v>463.9324</v>
      </c>
      <c r="L124" s="35" t="n">
        <f aca="false">'Operating Model'!$H$62</f>
        <v>464</v>
      </c>
      <c r="M124" s="35" t="n">
        <f aca="false">'Operating Model'!$H$62</f>
        <v>464</v>
      </c>
      <c r="N124" s="35" t="n">
        <f aca="false">'Operating Model'!$I$62</f>
        <v>466</v>
      </c>
      <c r="O124" s="35" t="n">
        <f aca="false">'Operating Model'!$I$62</f>
        <v>466</v>
      </c>
      <c r="P124" s="35" t="n">
        <f aca="false">'Operating Model'!$I$62</f>
        <v>466</v>
      </c>
      <c r="Q124" s="35" t="n">
        <f aca="false">'Operating Model'!$I$62</f>
        <v>466</v>
      </c>
    </row>
    <row r="125" customFormat="false" ht="15" hidden="false" customHeight="false" outlineLevel="0" collapsed="false">
      <c r="B125" s="19" t="s">
        <v>297</v>
      </c>
      <c r="F125" s="93" t="n">
        <f aca="false">'Quarterly (A)'!E27</f>
        <v>0.1</v>
      </c>
      <c r="G125" s="93" t="n">
        <f aca="false">'Quarterly (A)'!F27</f>
        <v>0.51</v>
      </c>
      <c r="H125" s="93" t="n">
        <f aca="false">'Quarterly (A)'!G27</f>
        <v>1.2</v>
      </c>
      <c r="I125" s="93" t="n">
        <f aca="false">'Quarterly (A)'!H27</f>
        <v>0.28</v>
      </c>
      <c r="J125" s="93" t="n">
        <f aca="false">'Quarterly (A)'!I27</f>
        <v>0.23</v>
      </c>
      <c r="K125" s="93" t="n">
        <f aca="false">'Quarterly (A)'!J27</f>
        <v>0.48</v>
      </c>
      <c r="L125" s="94" t="n">
        <f aca="false">L123/L124</f>
        <v>0.897511903982523</v>
      </c>
      <c r="M125" s="94" t="n">
        <f aca="false">M123/M124</f>
        <v>-0.153278027606015</v>
      </c>
      <c r="N125" s="94" t="n">
        <f aca="false">N123/N124</f>
        <v>-0.118697365279367</v>
      </c>
      <c r="O125" s="94" t="n">
        <f aca="false">O123/O124</f>
        <v>0.2816016157009</v>
      </c>
      <c r="P125" s="94" t="n">
        <f aca="false">P123/P124</f>
        <v>0.880039194039462</v>
      </c>
      <c r="Q125" s="94" t="n">
        <f aca="false">Q123/Q124</f>
        <v>-0.091567306553396</v>
      </c>
      <c r="S125" s="94" t="n">
        <f aca="false">SUM(F125:I125)</f>
        <v>2.09</v>
      </c>
      <c r="T125" s="94" t="n">
        <f aca="false">SUM(J125:M125)</f>
        <v>1.45423387637651</v>
      </c>
      <c r="U125" s="94" t="n">
        <f aca="false">SUM(N125:Q125)</f>
        <v>0.951376137907599</v>
      </c>
    </row>
    <row r="126" customFormat="false" ht="15" hidden="false" customHeight="false" outlineLevel="0" collapsed="false">
      <c r="B126" s="9" t="s">
        <v>395</v>
      </c>
      <c r="L126" s="26" t="n">
        <f aca="false">Consensus!C12</f>
        <v>0.83</v>
      </c>
      <c r="M126" s="26" t="n">
        <f aca="false">Consensus!D12</f>
        <v>-0.1</v>
      </c>
      <c r="N126" s="26" t="n">
        <f aca="false">Consensus!E12</f>
        <v>-0.04</v>
      </c>
      <c r="O126" s="26" t="n">
        <f aca="false">Consensus!F12</f>
        <v>0.37</v>
      </c>
      <c r="P126" s="26" t="n">
        <f aca="false">Consensus!G12</f>
        <v>0.97</v>
      </c>
      <c r="Q126" s="26" t="n">
        <f aca="false">Consensus!H12</f>
        <v>0.16</v>
      </c>
      <c r="T126" s="26" t="n">
        <f aca="false">Consensus!C8</f>
        <v>1.36</v>
      </c>
      <c r="U126" s="26" t="n">
        <f aca="false">Consensus!D8</f>
        <v>1.46</v>
      </c>
    </row>
    <row r="127" customFormat="false" ht="15" hidden="false" customHeight="false" outlineLevel="0" collapsed="false">
      <c r="B127" s="9" t="s">
        <v>396</v>
      </c>
      <c r="L127" s="94" t="n">
        <f aca="false">L125-L126</f>
        <v>0.0675119039825227</v>
      </c>
      <c r="M127" s="94" t="n">
        <f aca="false">M125-M126</f>
        <v>-0.0532780276060146</v>
      </c>
      <c r="N127" s="94" t="n">
        <f aca="false">N125-N126</f>
        <v>-0.0786973652793669</v>
      </c>
      <c r="O127" s="94" t="n">
        <f aca="false">O125-O126</f>
        <v>-0.0883983842991001</v>
      </c>
      <c r="P127" s="94" t="n">
        <f aca="false">P125-P126</f>
        <v>-0.0899608059605384</v>
      </c>
      <c r="Q127" s="94" t="n">
        <f aca="false">Q125-Q126</f>
        <v>-0.251567306553396</v>
      </c>
      <c r="T127" s="94" t="n">
        <f aca="false">T125-T126</f>
        <v>0.094233876376508</v>
      </c>
      <c r="U127" s="94" t="n">
        <f aca="false">U125-U126</f>
        <v>-0.508623862092401</v>
      </c>
    </row>
    <row r="128" customFormat="false" ht="15" hidden="false" customHeight="false" outlineLevel="0" collapsed="false">
      <c r="B128" s="9" t="s">
        <v>397</v>
      </c>
      <c r="S128" s="37" t="n">
        <f aca="false">S118-'Operating Model'!G52</f>
        <v>0</v>
      </c>
      <c r="T128" s="37" t="n">
        <f aca="false">T118-'Operating Model'!H52</f>
        <v>0</v>
      </c>
      <c r="U128" s="37" t="n">
        <f aca="false">U118-'Operating Model'!I52</f>
        <v>0</v>
      </c>
    </row>
    <row r="130" customFormat="false" ht="15" hidden="false" customHeight="false" outlineLevel="0" collapsed="false">
      <c r="B130" s="9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48"/>
    <col collapsed="false" customWidth="true" hidden="false" outlineLevel="0" max="10" min="4" style="0" width="11"/>
  </cols>
  <sheetData>
    <row r="2" customFormat="false" ht="15" hidden="false" customHeight="false" outlineLevel="0" collapsed="false">
      <c r="B2" s="20" t="s">
        <v>399</v>
      </c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false" outlineLevel="0" collapsed="false">
      <c r="B3" s="22" t="s">
        <v>400</v>
      </c>
    </row>
    <row r="5" customFormat="false" ht="15" hidden="false" customHeight="false" outlineLevel="0" collapsed="false">
      <c r="C5" s="19" t="s">
        <v>401</v>
      </c>
      <c r="D5" s="23" t="s">
        <v>66</v>
      </c>
      <c r="E5" s="23" t="s">
        <v>67</v>
      </c>
      <c r="F5" s="23" t="s">
        <v>68</v>
      </c>
      <c r="G5" s="23" t="s">
        <v>69</v>
      </c>
      <c r="H5" s="23" t="s">
        <v>70</v>
      </c>
      <c r="I5" s="23" t="s">
        <v>71</v>
      </c>
    </row>
    <row r="6" customFormat="false" ht="15" hidden="false" customHeight="false" outlineLevel="0" collapsed="false">
      <c r="B6" s="9" t="s">
        <v>402</v>
      </c>
      <c r="D6" s="108" t="s">
        <v>403</v>
      </c>
      <c r="E6" s="108" t="s">
        <v>404</v>
      </c>
      <c r="F6" s="108" t="s">
        <v>405</v>
      </c>
      <c r="G6" s="108" t="s">
        <v>405</v>
      </c>
      <c r="H6" s="108" t="s">
        <v>406</v>
      </c>
      <c r="I6" s="108" t="s">
        <v>406</v>
      </c>
    </row>
    <row r="7" customFormat="false" ht="15" hidden="false" customHeight="false" outlineLevel="0" collapsed="false">
      <c r="B7" s="9" t="s">
        <v>407</v>
      </c>
      <c r="D7" s="101" t="n">
        <v>0</v>
      </c>
      <c r="E7" s="101" t="n">
        <v>1.5</v>
      </c>
      <c r="F7" s="101" t="n">
        <v>4.5</v>
      </c>
      <c r="G7" s="101" t="n">
        <v>7.5</v>
      </c>
      <c r="H7" s="101" t="n">
        <v>10.5</v>
      </c>
      <c r="I7" s="101" t="n">
        <v>13.5</v>
      </c>
    </row>
    <row r="9" customFormat="false" ht="15" hidden="false" customHeight="false" outlineLevel="0" collapsed="false">
      <c r="B9" s="19" t="s">
        <v>408</v>
      </c>
    </row>
    <row r="10" customFormat="false" ht="15" hidden="false" customHeight="false" outlineLevel="0" collapsed="false">
      <c r="B10" s="9" t="s">
        <v>409</v>
      </c>
      <c r="C10" s="9" t="s">
        <v>410</v>
      </c>
      <c r="D10" s="87" t="n">
        <v>0.18</v>
      </c>
      <c r="E10" s="87" t="n">
        <v>0.5</v>
      </c>
      <c r="F10" s="87" t="n">
        <v>0.62</v>
      </c>
      <c r="G10" s="87" t="n">
        <v>0.38</v>
      </c>
      <c r="H10" s="87" t="n">
        <v>0.2</v>
      </c>
      <c r="I10" s="87" t="n">
        <v>0.48</v>
      </c>
    </row>
    <row r="11" customFormat="false" ht="15" hidden="false" customHeight="false" outlineLevel="0" collapsed="false">
      <c r="B11" s="9" t="s">
        <v>411</v>
      </c>
      <c r="C11" s="9" t="s">
        <v>412</v>
      </c>
      <c r="D11" s="24" t="n">
        <f aca="false">'Fleet Qtr Build'!J11</f>
        <v>0.155888499193556</v>
      </c>
      <c r="E11" s="24" t="n">
        <f aca="false">'Fleet Qtr Build'!K11</f>
        <v>0.160280896973913</v>
      </c>
      <c r="F11" s="24" t="n">
        <f aca="false">'Fleet Qtr Build'!L11</f>
        <v>0.169544226820257</v>
      </c>
      <c r="G11" s="24" t="n">
        <f aca="false">'Fleet Qtr Build'!M11</f>
        <v>0.166734833205905</v>
      </c>
      <c r="H11" s="24" t="n">
        <f aca="false">'Fleet Qtr Build'!N11</f>
        <v>0.171163261052882</v>
      </c>
      <c r="I11" s="24" t="n">
        <f aca="false">'Fleet Qtr Build'!O11</f>
        <v>0.175274488778591</v>
      </c>
    </row>
    <row r="12" customFormat="false" ht="15" hidden="false" customHeight="false" outlineLevel="0" collapsed="false">
      <c r="B12" s="9" t="s">
        <v>413</v>
      </c>
      <c r="C12" s="9" t="s">
        <v>414</v>
      </c>
      <c r="D12" s="11" t="n">
        <f aca="false">IF(D$6="sailed",0,(SUMIFS('Fare Panel'!$E$8:$E$114,'Fare Panel'!$B$8:$B$114,"Oceania",'Fare Panel'!$C$8:$C$114,"Caribbean/Bahamas",'Fare Panel'!$D$8:$D$114,D$6)+SUMIFS('Fare Panel'!$E$8:$E$114,'Fare Panel'!$B$8:$B$114,"Regent Seven Seas",'Fare Panel'!$C$8:$C$114,"Caribbean/Bahamas",'Fare Panel'!$D$8:$D$114,D$6))/(SUMIFS('Fare Panel'!$E$8:$E$114,'Fare Panel'!$B$8:$B$114,"Oceania",'Fare Panel'!$D$8:$D$114,D$6)+SUMIFS('Fare Panel'!$E$8:$E$114,'Fare Panel'!$B$8:$B$114,"Regent Seven Seas",'Fare Panel'!$D$8:$D$114,D$6)))</f>
        <v>0</v>
      </c>
      <c r="E12" s="11" t="n">
        <f aca="false">IF(E$6="sailed",0,(SUMIFS('Fare Panel'!$E$8:$E$114,'Fare Panel'!$B$8:$B$114,"Oceania",'Fare Panel'!$C$8:$C$114,"Caribbean/Bahamas",'Fare Panel'!$D$8:$D$114,E$6)+SUMIFS('Fare Panel'!$E$8:$E$114,'Fare Panel'!$B$8:$B$114,"Regent Seven Seas",'Fare Panel'!$C$8:$C$114,"Caribbean/Bahamas",'Fare Panel'!$D$8:$D$114,E$6))/(SUMIFS('Fare Panel'!$E$8:$E$114,'Fare Panel'!$B$8:$B$114,"Oceania",'Fare Panel'!$D$8:$D$114,E$6)+SUMIFS('Fare Panel'!$E$8:$E$114,'Fare Panel'!$B$8:$B$114,"Regent Seven Seas",'Fare Panel'!$D$8:$D$114,E$6)))</f>
        <v>0.363636363636364</v>
      </c>
      <c r="F12" s="11" t="n">
        <f aca="false">IF(F$6="sailed",0,(SUMIFS('Fare Panel'!$E$8:$E$114,'Fare Panel'!$B$8:$B$114,"Oceania",'Fare Panel'!$C$8:$C$114,"Caribbean/Bahamas",'Fare Panel'!$D$8:$D$114,F$6)+SUMIFS('Fare Panel'!$E$8:$E$114,'Fare Panel'!$B$8:$B$114,"Regent Seven Seas",'Fare Panel'!$C$8:$C$114,"Caribbean/Bahamas",'Fare Panel'!$D$8:$D$114,F$6))/(SUMIFS('Fare Panel'!$E$8:$E$114,'Fare Panel'!$B$8:$B$114,"Oceania",'Fare Panel'!$D$8:$D$114,F$6)+SUMIFS('Fare Panel'!$E$8:$E$114,'Fare Panel'!$B$8:$B$114,"Regent Seven Seas",'Fare Panel'!$D$8:$D$114,F$6)))</f>
        <v>0.0526315789473684</v>
      </c>
      <c r="G12" s="11" t="n">
        <f aca="false">IF(G$6="sailed",0,(SUMIFS('Fare Panel'!$E$8:$E$114,'Fare Panel'!$B$8:$B$114,"Oceania",'Fare Panel'!$C$8:$C$114,"Caribbean/Bahamas",'Fare Panel'!$D$8:$D$114,G$6)+SUMIFS('Fare Panel'!$E$8:$E$114,'Fare Panel'!$B$8:$B$114,"Regent Seven Seas",'Fare Panel'!$C$8:$C$114,"Caribbean/Bahamas",'Fare Panel'!$D$8:$D$114,G$6))/(SUMIFS('Fare Panel'!$E$8:$E$114,'Fare Panel'!$B$8:$B$114,"Oceania",'Fare Panel'!$D$8:$D$114,G$6)+SUMIFS('Fare Panel'!$E$8:$E$114,'Fare Panel'!$B$8:$B$114,"Regent Seven Seas",'Fare Panel'!$D$8:$D$114,G$6)))</f>
        <v>0.0526315789473684</v>
      </c>
      <c r="H12" s="11" t="n">
        <f aca="false">IF(H$6="sailed",0,(SUMIFS('Fare Panel'!$E$8:$E$114,'Fare Panel'!$B$8:$B$114,"Oceania",'Fare Panel'!$C$8:$C$114,"Caribbean/Bahamas",'Fare Panel'!$D$8:$D$114,H$6)+SUMIFS('Fare Panel'!$E$8:$E$114,'Fare Panel'!$B$8:$B$114,"Regent Seven Seas",'Fare Panel'!$C$8:$C$114,"Caribbean/Bahamas",'Fare Panel'!$D$8:$D$114,H$6))/(SUMIFS('Fare Panel'!$E$8:$E$114,'Fare Panel'!$B$8:$B$114,"Oceania",'Fare Panel'!$D$8:$D$114,H$6)+SUMIFS('Fare Panel'!$E$8:$E$114,'Fare Panel'!$B$8:$B$114,"Regent Seven Seas",'Fare Panel'!$D$8:$D$114,H$6)))</f>
        <v>0.111111111111111</v>
      </c>
      <c r="I12" s="11" t="n">
        <f aca="false">IF(I$6="sailed",0,(SUMIFS('Fare Panel'!$E$8:$E$114,'Fare Panel'!$B$8:$B$114,"Oceania",'Fare Panel'!$C$8:$C$114,"Caribbean/Bahamas",'Fare Panel'!$D$8:$D$114,I$6)+SUMIFS('Fare Panel'!$E$8:$E$114,'Fare Panel'!$B$8:$B$114,"Regent Seven Seas",'Fare Panel'!$C$8:$C$114,"Caribbean/Bahamas",'Fare Panel'!$D$8:$D$114,I$6))/(SUMIFS('Fare Panel'!$E$8:$E$114,'Fare Panel'!$B$8:$B$114,"Oceania",'Fare Panel'!$D$8:$D$114,I$6)+SUMIFS('Fare Panel'!$E$8:$E$114,'Fare Panel'!$B$8:$B$114,"Regent Seven Seas",'Fare Panel'!$D$8:$D$114,I$6)))</f>
        <v>0.111111111111111</v>
      </c>
    </row>
    <row r="13" customFormat="false" ht="15" hidden="false" customHeight="false" outlineLevel="0" collapsed="false">
      <c r="B13" s="19" t="s">
        <v>415</v>
      </c>
      <c r="C13" s="9" t="s">
        <v>416</v>
      </c>
      <c r="D13" s="88" t="n">
        <f aca="false">MIN(1,(D10-D11*D12)/(1-D11))</f>
        <v>0.213241970791812</v>
      </c>
      <c r="E13" s="88" t="n">
        <f aca="false">MIN(1,(E10-E11*E12)/(1-E11))</f>
        <v>0.526028330035871</v>
      </c>
      <c r="F13" s="88" t="n">
        <f aca="false">MIN(1,(F10-F11*F12)/(1-F11))</f>
        <v>0.735832827437974</v>
      </c>
      <c r="G13" s="88" t="n">
        <f aca="false">MIN(1,(G10-G11*G12)/(1-G11))</f>
        <v>0.445505821263472</v>
      </c>
      <c r="H13" s="88" t="n">
        <f aca="false">MIN(1,(H10-H11*H12)/(1-H11))</f>
        <v>0.218356464402045</v>
      </c>
      <c r="I13" s="88" t="n">
        <f aca="false">MIN(1,(I10-I11*I12)/(1-I11))</f>
        <v>0.558397976704209</v>
      </c>
    </row>
    <row r="15" customFormat="false" ht="15" hidden="false" customHeight="false" outlineLevel="0" collapsed="false">
      <c r="B15" s="19" t="s">
        <v>417</v>
      </c>
    </row>
    <row r="16" customFormat="false" ht="15" hidden="false" customHeight="false" outlineLevel="0" collapsed="false">
      <c r="B16" s="9" t="s">
        <v>418</v>
      </c>
      <c r="C16" s="9" t="s">
        <v>419</v>
      </c>
      <c r="D16" s="11" t="n">
        <f aca="false">IF(D$6="sailed",0,SUMIFS('Fare Panel'!$F$8:$F$114,'Fare Panel'!$B$8:$B$114,"Norwegian",'Fare Panel'!$C$8:$C$114,"Caribbean/Bahamas",'Fare Panel'!$D$8:$D$114,D$6))</f>
        <v>0</v>
      </c>
      <c r="E16" s="11" t="n">
        <f aca="false">IF(E$6="sailed",0,SUMIFS('Fare Panel'!$F$8:$F$114,'Fare Panel'!$B$8:$B$114,"Norwegian",'Fare Panel'!$C$8:$C$114,"Caribbean/Bahamas",'Fare Panel'!$D$8:$D$114,E$6))</f>
        <v>-0.36</v>
      </c>
      <c r="F16" s="11" t="n">
        <f aca="false">IF(F$6="sailed",0,SUMIFS('Fare Panel'!$F$8:$F$114,'Fare Panel'!$B$8:$B$114,"Norwegian",'Fare Panel'!$C$8:$C$114,"Caribbean/Bahamas",'Fare Panel'!$D$8:$D$114,F$6))</f>
        <v>-0.145</v>
      </c>
      <c r="G16" s="11" t="n">
        <f aca="false">IF(G$6="sailed",0,SUMIFS('Fare Panel'!$F$8:$F$114,'Fare Panel'!$B$8:$B$114,"Norwegian",'Fare Panel'!$C$8:$C$114,"Caribbean/Bahamas",'Fare Panel'!$D$8:$D$114,G$6))</f>
        <v>-0.145</v>
      </c>
      <c r="H16" s="11" t="n">
        <f aca="false">IF(H$6="sailed",0,SUMIFS('Fare Panel'!$F$8:$F$114,'Fare Panel'!$B$8:$B$114,"Norwegian",'Fare Panel'!$C$8:$C$114,"Caribbean/Bahamas",'Fare Panel'!$D$8:$D$114,H$6))</f>
        <v>-0.02</v>
      </c>
      <c r="I16" s="11" t="n">
        <f aca="false">IF(I$6="sailed",0,SUMIFS('Fare Panel'!$F$8:$F$114,'Fare Panel'!$B$8:$B$114,"Norwegian",'Fare Panel'!$C$8:$C$114,"Caribbean/Bahamas",'Fare Panel'!$D$8:$D$114,I$6))</f>
        <v>-0.02</v>
      </c>
    </row>
    <row r="17" customFormat="false" ht="15" hidden="false" customHeight="false" outlineLevel="0" collapsed="false">
      <c r="B17" s="9" t="s">
        <v>420</v>
      </c>
      <c r="C17" s="9" t="s">
        <v>419</v>
      </c>
      <c r="D17" s="11" t="n">
        <f aca="false">IF(D$6="sailed",0,SUMPRODUCT(('Fare Panel'!$B$8:$B$114="Norwegian")*('Fare Panel'!$C$8:$C$114&lt;&gt;"Caribbean/Bahamas")*('Fare Panel'!$D$8:$D$114=D$6)*'Fare Panel'!$E$8:$E$114*'Fare Panel'!$F$8:$F$114)/SUMPRODUCT(('Fare Panel'!$B$8:$B$114="Norwegian")*('Fare Panel'!$C$8:$C$114&lt;&gt;"Caribbean/Bahamas")*('Fare Panel'!$D$8:$D$114=D$6)*'Fare Panel'!$E$8:$E$114))</f>
        <v>0</v>
      </c>
      <c r="E17" s="11" t="n">
        <f aca="false">IF(E$6="sailed",0,SUMPRODUCT(('Fare Panel'!$B$8:$B$114="Norwegian")*('Fare Panel'!$C$8:$C$114&lt;&gt;"Caribbean/Bahamas")*('Fare Panel'!$D$8:$D$114=E$6)*'Fare Panel'!$E$8:$E$114*'Fare Panel'!$F$8:$F$114)/SUMPRODUCT(('Fare Panel'!$B$8:$B$114="Norwegian")*('Fare Panel'!$C$8:$C$114&lt;&gt;"Caribbean/Bahamas")*('Fare Panel'!$D$8:$D$114=E$6)*'Fare Panel'!$E$8:$E$114))</f>
        <v>-0.134347826086957</v>
      </c>
      <c r="F17" s="11" t="n">
        <f aca="false">IF(F$6="sailed",0,SUMPRODUCT(('Fare Panel'!$B$8:$B$114="Norwegian")*('Fare Panel'!$C$8:$C$114&lt;&gt;"Caribbean/Bahamas")*('Fare Panel'!$D$8:$D$114=F$6)*'Fare Panel'!$E$8:$E$114*'Fare Panel'!$F$8:$F$114)/SUMPRODUCT(('Fare Panel'!$B$8:$B$114="Norwegian")*('Fare Panel'!$C$8:$C$114&lt;&gt;"Caribbean/Bahamas")*('Fare Panel'!$D$8:$D$114=F$6)*'Fare Panel'!$E$8:$E$114))</f>
        <v>-0.0284615384615385</v>
      </c>
      <c r="G17" s="11" t="n">
        <f aca="false">IF(G$6="sailed",0,SUMPRODUCT(('Fare Panel'!$B$8:$B$114="Norwegian")*('Fare Panel'!$C$8:$C$114&lt;&gt;"Caribbean/Bahamas")*('Fare Panel'!$D$8:$D$114=G$6)*'Fare Panel'!$E$8:$E$114*'Fare Panel'!$F$8:$F$114)/SUMPRODUCT(('Fare Panel'!$B$8:$B$114="Norwegian")*('Fare Panel'!$C$8:$C$114&lt;&gt;"Caribbean/Bahamas")*('Fare Panel'!$D$8:$D$114=G$6)*'Fare Panel'!$E$8:$E$114))</f>
        <v>-0.0284615384615385</v>
      </c>
      <c r="H17" s="11" t="n">
        <f aca="false">IF(H$6="sailed",0,SUMPRODUCT(('Fare Panel'!$B$8:$B$114="Norwegian")*('Fare Panel'!$C$8:$C$114&lt;&gt;"Caribbean/Bahamas")*('Fare Panel'!$D$8:$D$114=H$6)*'Fare Panel'!$E$8:$E$114*'Fare Panel'!$F$8:$F$114)/SUMPRODUCT(('Fare Panel'!$B$8:$B$114="Norwegian")*('Fare Panel'!$C$8:$C$114&lt;&gt;"Caribbean/Bahamas")*('Fare Panel'!$D$8:$D$114=H$6)*'Fare Panel'!$E$8:$E$114))</f>
        <v>-0.003</v>
      </c>
      <c r="I17" s="11" t="n">
        <f aca="false">IF(I$6="sailed",0,SUMPRODUCT(('Fare Panel'!$B$8:$B$114="Norwegian")*('Fare Panel'!$C$8:$C$114&lt;&gt;"Caribbean/Bahamas")*('Fare Panel'!$D$8:$D$114=I$6)*'Fare Panel'!$E$8:$E$114*'Fare Panel'!$F$8:$F$114)/SUMPRODUCT(('Fare Panel'!$B$8:$B$114="Norwegian")*('Fare Panel'!$C$8:$C$114&lt;&gt;"Caribbean/Bahamas")*('Fare Panel'!$D$8:$D$114=I$6)*'Fare Panel'!$E$8:$E$114))</f>
        <v>-0.003</v>
      </c>
    </row>
    <row r="18" customFormat="false" ht="15" hidden="false" customHeight="false" outlineLevel="0" collapsed="false">
      <c r="B18" s="9" t="s">
        <v>421</v>
      </c>
      <c r="C18" s="9" t="s">
        <v>419</v>
      </c>
      <c r="D18" s="11" t="n">
        <f aca="false">IF(D$6="sailed",0,SUMPRODUCT((('Fare Panel'!$B$8:$B$114="Oceania")+('Fare Panel'!$B$8:$B$114="Regent Seven Seas"))*('Fare Panel'!$D$8:$D$114=D$6)*'Fare Panel'!$E$8:$E$114*'Fare Panel'!$F$8:$F$114)/SUMPRODUCT((('Fare Panel'!$B$8:$B$114="Oceania")+('Fare Panel'!$B$8:$B$114="Regent Seven Seas"))*('Fare Panel'!$D$8:$D$114=D$6)*'Fare Panel'!$E$8:$E$114))</f>
        <v>0</v>
      </c>
      <c r="E18" s="11" t="n">
        <f aca="false">IF(E$6="sailed",0,SUMPRODUCT((('Fare Panel'!$B$8:$B$114="Oceania")+('Fare Panel'!$B$8:$B$114="Regent Seven Seas"))*('Fare Panel'!$D$8:$D$114=E$6)*'Fare Panel'!$E$8:$E$114*'Fare Panel'!$F$8:$F$114)/SUMPRODUCT((('Fare Panel'!$B$8:$B$114="Oceania")+('Fare Panel'!$B$8:$B$114="Regent Seven Seas"))*('Fare Panel'!$D$8:$D$114=E$6)*'Fare Panel'!$E$8:$E$114))</f>
        <v>0</v>
      </c>
      <c r="F18" s="11" t="n">
        <f aca="false">IF(F$6="sailed",0,SUMPRODUCT((('Fare Panel'!$B$8:$B$114="Oceania")+('Fare Panel'!$B$8:$B$114="Regent Seven Seas"))*('Fare Panel'!$D$8:$D$114=F$6)*'Fare Panel'!$E$8:$E$114*'Fare Panel'!$F$8:$F$114)/SUMPRODUCT((('Fare Panel'!$B$8:$B$114="Oceania")+('Fare Panel'!$B$8:$B$114="Regent Seven Seas"))*('Fare Panel'!$D$8:$D$114=F$6)*'Fare Panel'!$E$8:$E$114))</f>
        <v>0</v>
      </c>
      <c r="G18" s="11" t="n">
        <f aca="false">IF(G$6="sailed",0,SUMPRODUCT((('Fare Panel'!$B$8:$B$114="Oceania")+('Fare Panel'!$B$8:$B$114="Regent Seven Seas"))*('Fare Panel'!$D$8:$D$114=G$6)*'Fare Panel'!$E$8:$E$114*'Fare Panel'!$F$8:$F$114)/SUMPRODUCT((('Fare Panel'!$B$8:$B$114="Oceania")+('Fare Panel'!$B$8:$B$114="Regent Seven Seas"))*('Fare Panel'!$D$8:$D$114=G$6)*'Fare Panel'!$E$8:$E$114))</f>
        <v>0</v>
      </c>
      <c r="H18" s="11" t="n">
        <f aca="false">IF(H$6="sailed",0,SUMPRODUCT((('Fare Panel'!$B$8:$B$114="Oceania")+('Fare Panel'!$B$8:$B$114="Regent Seven Seas"))*('Fare Panel'!$D$8:$D$114=H$6)*'Fare Panel'!$E$8:$E$114*'Fare Panel'!$F$8:$F$114)/SUMPRODUCT((('Fare Panel'!$B$8:$B$114="Oceania")+('Fare Panel'!$B$8:$B$114="Regent Seven Seas"))*('Fare Panel'!$D$8:$D$114=H$6)*'Fare Panel'!$E$8:$E$114))</f>
        <v>0</v>
      </c>
      <c r="I18" s="11" t="n">
        <f aca="false">IF(I$6="sailed",0,SUMPRODUCT((('Fare Panel'!$B$8:$B$114="Oceania")+('Fare Panel'!$B$8:$B$114="Regent Seven Seas"))*('Fare Panel'!$D$8:$D$114=I$6)*'Fare Panel'!$E$8:$E$114*'Fare Panel'!$F$8:$F$114)/SUMPRODUCT((('Fare Panel'!$B$8:$B$114="Oceania")+('Fare Panel'!$B$8:$B$114="Regent Seven Seas"))*('Fare Panel'!$D$8:$D$114=I$6)*'Fare Panel'!$E$8:$E$114))</f>
        <v>0</v>
      </c>
    </row>
    <row r="19" customFormat="false" ht="15" hidden="false" customHeight="false" outlineLevel="0" collapsed="false">
      <c r="B19" s="9" t="s">
        <v>422</v>
      </c>
      <c r="C19" s="9" t="s">
        <v>419</v>
      </c>
      <c r="D19" s="11" t="n">
        <f aca="false">IF(D$6="sailed",0,AVERAGE(SUMIFS('Fare Panel'!$F$8:$F$114,'Fare Panel'!$B$8:$B$114,"Royal Caribbean",'Fare Panel'!$C$8:$C$114,"Caribbean/Bahamas",'Fare Panel'!$D$8:$D$114,D$6),SUMIFS('Fare Panel'!$F$8:$F$114,'Fare Panel'!$B$8:$B$114,"Carnival",'Fare Panel'!$C$8:$C$114,"Caribbean/Bahamas",'Fare Panel'!$D$8:$D$114,D$6)))</f>
        <v>0</v>
      </c>
      <c r="E19" s="11" t="n">
        <f aca="false">IF(E$6="sailed",0,AVERAGE(SUMIFS('Fare Panel'!$F$8:$F$114,'Fare Panel'!$B$8:$B$114,"Royal Caribbean",'Fare Panel'!$C$8:$C$114,"Caribbean/Bahamas",'Fare Panel'!$D$8:$D$114,E$6),SUMIFS('Fare Panel'!$F$8:$F$114,'Fare Panel'!$B$8:$B$114,"Carnival",'Fare Panel'!$C$8:$C$114,"Caribbean/Bahamas",'Fare Panel'!$D$8:$D$114,E$6)))</f>
        <v>-0.03</v>
      </c>
      <c r="F19" s="11" t="n">
        <f aca="false">IF(F$6="sailed",0,AVERAGE(SUMIFS('Fare Panel'!$F$8:$F$114,'Fare Panel'!$B$8:$B$114,"Royal Caribbean",'Fare Panel'!$C$8:$C$114,"Caribbean/Bahamas",'Fare Panel'!$D$8:$D$114,F$6),SUMIFS('Fare Panel'!$F$8:$F$114,'Fare Panel'!$B$8:$B$114,"Carnival",'Fare Panel'!$C$8:$C$114,"Caribbean/Bahamas",'Fare Panel'!$D$8:$D$114,F$6)))</f>
        <v>-0.005</v>
      </c>
      <c r="G19" s="11" t="n">
        <f aca="false">IF(G$6="sailed",0,AVERAGE(SUMIFS('Fare Panel'!$F$8:$F$114,'Fare Panel'!$B$8:$B$114,"Royal Caribbean",'Fare Panel'!$C$8:$C$114,"Caribbean/Bahamas",'Fare Panel'!$D$8:$D$114,G$6),SUMIFS('Fare Panel'!$F$8:$F$114,'Fare Panel'!$B$8:$B$114,"Carnival",'Fare Panel'!$C$8:$C$114,"Caribbean/Bahamas",'Fare Panel'!$D$8:$D$114,G$6)))</f>
        <v>-0.005</v>
      </c>
      <c r="H19" s="11" t="n">
        <f aca="false">IF(H$6="sailed",0,AVERAGE(SUMIFS('Fare Panel'!$F$8:$F$114,'Fare Panel'!$B$8:$B$114,"Royal Caribbean",'Fare Panel'!$C$8:$C$114,"Caribbean/Bahamas",'Fare Panel'!$D$8:$D$114,H$6),SUMIFS('Fare Panel'!$F$8:$F$114,'Fare Panel'!$B$8:$B$114,"Carnival",'Fare Panel'!$C$8:$C$114,"Caribbean/Bahamas",'Fare Panel'!$D$8:$D$114,H$6)))</f>
        <v>0</v>
      </c>
      <c r="I19" s="11" t="n">
        <f aca="false">IF(I$6="sailed",0,AVERAGE(SUMIFS('Fare Panel'!$F$8:$F$114,'Fare Panel'!$B$8:$B$114,"Royal Caribbean",'Fare Panel'!$C$8:$C$114,"Caribbean/Bahamas",'Fare Panel'!$D$8:$D$114,I$6),SUMIFS('Fare Panel'!$F$8:$F$114,'Fare Panel'!$B$8:$B$114,"Carnival",'Fare Panel'!$C$8:$C$114,"Caribbean/Bahamas",'Fare Panel'!$D$8:$D$114,I$6)))</f>
        <v>0</v>
      </c>
    </row>
    <row r="20" customFormat="false" ht="15" hidden="false" customHeight="false" outlineLevel="0" collapsed="false">
      <c r="B20" s="9" t="s">
        <v>423</v>
      </c>
      <c r="D20" s="11" t="n">
        <f aca="false">D16-D19</f>
        <v>0</v>
      </c>
      <c r="E20" s="11" t="n">
        <f aca="false">E16-E19</f>
        <v>-0.33</v>
      </c>
      <c r="F20" s="11" t="n">
        <f aca="false">F16-F19</f>
        <v>-0.14</v>
      </c>
      <c r="G20" s="11" t="n">
        <f aca="false">G16-G19</f>
        <v>-0.14</v>
      </c>
      <c r="H20" s="11" t="n">
        <f aca="false">H16-H19</f>
        <v>-0.02</v>
      </c>
      <c r="I20" s="11" t="n">
        <f aca="false">I16-I19</f>
        <v>-0.02</v>
      </c>
    </row>
    <row r="22" customFormat="false" ht="15" hidden="false" customHeight="false" outlineLevel="0" collapsed="false">
      <c r="B22" s="19" t="s">
        <v>424</v>
      </c>
    </row>
    <row r="23" customFormat="false" ht="15" hidden="false" customHeight="false" outlineLevel="0" collapsed="false">
      <c r="B23" s="9" t="s">
        <v>425</v>
      </c>
      <c r="D23" s="108" t="s">
        <v>426</v>
      </c>
      <c r="E23" s="108" t="s">
        <v>427</v>
      </c>
      <c r="F23" s="108" t="s">
        <v>428</v>
      </c>
      <c r="G23" s="108" t="s">
        <v>429</v>
      </c>
      <c r="H23" s="108" t="s">
        <v>430</v>
      </c>
    </row>
    <row r="24" customFormat="false" ht="15" hidden="false" customHeight="false" outlineLevel="0" collapsed="false">
      <c r="B24" s="9" t="s">
        <v>431</v>
      </c>
      <c r="C24" s="9" t="s">
        <v>432</v>
      </c>
      <c r="D24" s="87" t="n">
        <v>0.85</v>
      </c>
      <c r="E24" s="87" t="n">
        <v>0.6</v>
      </c>
      <c r="F24" s="87" t="n">
        <v>0.5</v>
      </c>
      <c r="G24" s="87" t="n">
        <v>0.35</v>
      </c>
      <c r="H24" s="87" t="n">
        <v>0.25</v>
      </c>
    </row>
    <row r="25" customFormat="false" ht="15" hidden="false" customHeight="false" outlineLevel="0" collapsed="false">
      <c r="B25" s="9" t="s">
        <v>433</v>
      </c>
      <c r="D25" s="11" t="n">
        <f aca="false">IF(D$6="sailed",1,IF(D7&lt;=3,$D$24,IF(D7&lt;=6,$E$24,IF(D7&lt;=9,$F$24,IF(D7&lt;=12,$G$24,$H$24)))))</f>
        <v>1</v>
      </c>
      <c r="E25" s="11" t="n">
        <f aca="false">IF(E$6="sailed",1,IF(E7&lt;=3,$D$24,IF(E7&lt;=6,$E$24,IF(E7&lt;=9,$F$24,IF(E7&lt;=12,$G$24,$H$24)))))</f>
        <v>0.85</v>
      </c>
      <c r="F25" s="11" t="n">
        <f aca="false">IF(F$6="sailed",1,IF(F7&lt;=3,$D$24,IF(F7&lt;=6,$E$24,IF(F7&lt;=9,$F$24,IF(F7&lt;=12,$G$24,$H$24)))))</f>
        <v>0.6</v>
      </c>
      <c r="G25" s="11" t="n">
        <f aca="false">IF(G$6="sailed",1,IF(G7&lt;=3,$D$24,IF(G7&lt;=6,$E$24,IF(G7&lt;=9,$F$24,IF(G7&lt;=12,$G$24,$H$24)))))</f>
        <v>0.5</v>
      </c>
      <c r="H25" s="11" t="n">
        <f aca="false">IF(H$6="sailed",1,IF(H7&lt;=3,$D$24,IF(H7&lt;=6,$E$24,IF(H7&lt;=9,$F$24,IF(H7&lt;=12,$G$24,$H$24)))))</f>
        <v>0.35</v>
      </c>
      <c r="I25" s="11" t="n">
        <f aca="false">IF(I$6="sailed",1,IF(I7&lt;=3,$D$24,IF(I7&lt;=6,$E$24,IF(I7&lt;=9,$F$24,IF(I7&lt;=12,$G$24,$H$24)))))</f>
        <v>0.25</v>
      </c>
    </row>
    <row r="26" customFormat="false" ht="15" hidden="false" customHeight="false" outlineLevel="0" collapsed="false">
      <c r="B26" s="9" t="s">
        <v>434</v>
      </c>
      <c r="C26" s="9" t="s">
        <v>435</v>
      </c>
      <c r="D26" s="11" t="n">
        <f aca="false">IF(OR(D$6="Q4 2026",D$6="1H 2027"),'KPI 2 Booking Build'!$D$11,0)</f>
        <v>0</v>
      </c>
      <c r="E26" s="11" t="n">
        <f aca="false">IF(OR(E$6="Q4 2026",E$6="1H 2027"),'KPI 2 Booking Build'!$D$11,0)</f>
        <v>0.05</v>
      </c>
      <c r="F26" s="11" t="n">
        <f aca="false">IF(OR(F$6="Q4 2026",F$6="1H 2027"),'KPI 2 Booking Build'!$D$11,0)</f>
        <v>0.05</v>
      </c>
      <c r="G26" s="11" t="n">
        <f aca="false">IF(OR(G$6="Q4 2026",G$6="1H 2027"),'KPI 2 Booking Build'!$D$11,0)</f>
        <v>0.05</v>
      </c>
      <c r="H26" s="11" t="n">
        <f aca="false">IF(OR(H$6="Q4 2026",H$6="1H 2027"),'KPI 2 Booking Build'!$D$11,0)</f>
        <v>0</v>
      </c>
      <c r="I26" s="11" t="n">
        <f aca="false">IF(OR(I$6="Q4 2026",I$6="1H 2027"),'KPI 2 Booking Build'!$D$11,0)</f>
        <v>0</v>
      </c>
    </row>
    <row r="27" customFormat="false" ht="15" hidden="false" customHeight="false" outlineLevel="0" collapsed="false">
      <c r="B27" s="19" t="s">
        <v>436</v>
      </c>
      <c r="C27" s="9" t="s">
        <v>437</v>
      </c>
      <c r="D27" s="88" t="n">
        <f aca="false">IF(D$6="sailed",0,1-D25+D26)</f>
        <v>0</v>
      </c>
      <c r="E27" s="88" t="n">
        <f aca="false">IF(E$6="sailed",0,1-E25+E26)</f>
        <v>0.2</v>
      </c>
      <c r="F27" s="88" t="n">
        <f aca="false">IF(F$6="sailed",0,1-F25+F26)</f>
        <v>0.45</v>
      </c>
      <c r="G27" s="88" t="n">
        <f aca="false">IF(G$6="sailed",0,1-G25+G26)</f>
        <v>0.55</v>
      </c>
      <c r="H27" s="88" t="n">
        <f aca="false">IF(H$6="sailed",0,1-H25+H26)</f>
        <v>0.65</v>
      </c>
      <c r="I27" s="88" t="n">
        <f aca="false">IF(I$6="sailed",0,1-I25+I26)</f>
        <v>0.75</v>
      </c>
    </row>
    <row r="28" customFormat="false" ht="15" hidden="false" customHeight="false" outlineLevel="0" collapsed="false">
      <c r="B28" s="9" t="s">
        <v>438</v>
      </c>
      <c r="C28" s="9" t="s">
        <v>439</v>
      </c>
      <c r="D28" s="87" t="n">
        <v>0</v>
      </c>
      <c r="E28" s="87" t="n">
        <v>0.2</v>
      </c>
      <c r="F28" s="87" t="n">
        <v>0.25</v>
      </c>
      <c r="G28" s="87" t="n">
        <v>0.25</v>
      </c>
      <c r="H28" s="87" t="n">
        <v>0.25</v>
      </c>
      <c r="I28" s="87" t="n">
        <v>0.25</v>
      </c>
    </row>
    <row r="29" customFormat="false" ht="15" hidden="false" customHeight="false" outlineLevel="0" collapsed="false">
      <c r="B29" s="9" t="s">
        <v>440</v>
      </c>
      <c r="C29" s="9" t="s">
        <v>441</v>
      </c>
      <c r="D29" s="11" t="n">
        <f aca="false">IF(D$6="sailed",0,1-D25+IF(OR(D$6="Q4 2026",D$6="1H 2027"),'KPI 2 Booking Build'!$D$12,0))</f>
        <v>0</v>
      </c>
      <c r="E29" s="11" t="n">
        <f aca="false">IF(E$6="sailed",0,1-E25+IF(OR(E$6="Q4 2026",E$6="1H 2027"),'KPI 2 Booking Build'!$D$12,0))</f>
        <v>0.23</v>
      </c>
      <c r="F29" s="11" t="n">
        <f aca="false">IF(F$6="sailed",0,1-F25+IF(OR(F$6="Q4 2026",F$6="1H 2027"),'KPI 2 Booking Build'!$D$12,0))</f>
        <v>0.48</v>
      </c>
      <c r="G29" s="11" t="n">
        <f aca="false">IF(G$6="sailed",0,1-G25+IF(OR(G$6="Q4 2026",G$6="1H 2027"),'KPI 2 Booking Build'!$D$12,0))</f>
        <v>0.58</v>
      </c>
      <c r="H29" s="11" t="n">
        <f aca="false">IF(H$6="sailed",0,1-H25+IF(OR(H$6="Q4 2026",H$6="1H 2027"),'KPI 2 Booking Build'!$D$12,0))</f>
        <v>0.65</v>
      </c>
      <c r="I29" s="11" t="n">
        <f aca="false">IF(I$6="sailed",0,1-I25+IF(OR(I$6="Q4 2026",I$6="1H 2027"),'KPI 2 Booking Build'!$D$12,0))</f>
        <v>0.75</v>
      </c>
    </row>
    <row r="30" customFormat="false" ht="15" hidden="false" customHeight="false" outlineLevel="0" collapsed="false">
      <c r="B30" s="9" t="s">
        <v>442</v>
      </c>
      <c r="D30" s="87" t="n">
        <v>0.5</v>
      </c>
    </row>
    <row r="32" customFormat="false" ht="15" hidden="false" customHeight="false" outlineLevel="0" collapsed="false">
      <c r="B32" s="19" t="s">
        <v>443</v>
      </c>
    </row>
    <row r="33" customFormat="false" ht="15" hidden="false" customHeight="false" outlineLevel="0" collapsed="false">
      <c r="B33" s="19" t="s">
        <v>444</v>
      </c>
      <c r="C33" s="9" t="s">
        <v>445</v>
      </c>
      <c r="D33" s="87" t="n">
        <v>0.65</v>
      </c>
    </row>
    <row r="34" customFormat="false" ht="15" hidden="false" customHeight="false" outlineLevel="0" collapsed="false">
      <c r="B34" s="9" t="s">
        <v>446</v>
      </c>
      <c r="D34" s="11" t="n">
        <f aca="false">'Fleet Build'!K50/'Fleet Build'!K53</f>
        <v>0.829274565635762</v>
      </c>
    </row>
    <row r="35" customFormat="false" ht="15" hidden="false" customHeight="false" outlineLevel="0" collapsed="false">
      <c r="B35" s="9" t="s">
        <v>447</v>
      </c>
      <c r="D35" s="109" t="n">
        <f aca="false">SUMPRODUCT(('Fare Panel'!$B$8:$B$114="Norwegian")*'Fare Panel'!$E$8:$E$114*'Fare Panel'!$J$8:$J$114)/SUMIFS('Fare Panel'!$E$8:$E$114,'Fare Panel'!$B$8:$B$114,"Norwegian")</f>
        <v>161.744252873563</v>
      </c>
      <c r="E35" s="109" t="n">
        <f aca="false">SUMPRODUCT(('Fare Panel'!$B$8:$B$114="Oceania")*'Fare Panel'!$E$8:$E$114*'Fare Panel'!$J$8:$J$114)/SUMIFS('Fare Panel'!$E$8:$E$114,'Fare Panel'!$B$8:$B$114,"Oceania")</f>
        <v>387.818181818182</v>
      </c>
      <c r="F35" s="109" t="n">
        <f aca="false">SUMPRODUCT(('Fare Panel'!$B$8:$B$114="Regent Seven Seas")*'Fare Panel'!$E$8:$E$114*'Fare Panel'!$J$8:$J$114)/SUMIFS('Fare Panel'!$E$8:$E$114,'Fare Panel'!$B$8:$B$114,"Regent Seven Seas")</f>
        <v>882.472222222222</v>
      </c>
    </row>
    <row r="36" customFormat="false" ht="15" hidden="false" customHeight="false" outlineLevel="0" collapsed="false">
      <c r="B36" s="9" t="s">
        <v>448</v>
      </c>
      <c r="C36" s="9" t="s">
        <v>449</v>
      </c>
      <c r="D36" s="11" t="n">
        <f aca="false">'Fleet Build'!K50*D35/('Fleet Build'!K50*D35+'Fleet Build'!K51*E35+'Fleet Build'!K52*F35)</f>
        <v>0.578724883192255</v>
      </c>
    </row>
    <row r="38" customFormat="false" ht="15" hidden="false" customHeight="false" outlineLevel="0" collapsed="false">
      <c r="B38" s="19" t="s">
        <v>450</v>
      </c>
    </row>
    <row r="39" customFormat="false" ht="15" hidden="false" customHeight="false" outlineLevel="0" collapsed="false">
      <c r="B39" s="19" t="s">
        <v>56</v>
      </c>
      <c r="D39" s="110" t="n">
        <f aca="false">IF(D$6="sailed",0,$D$33*D27*(D13*D16+(1-D13)*D17)+(1-$D$33)*D27*D18)</f>
        <v>0</v>
      </c>
      <c r="E39" s="110" t="n">
        <f aca="false">IF(E$6="sailed",0,$D$33*E27*(E13*E16+(1-E13)*E17)+(1-$D$33)*E27*E18)</f>
        <v>-0.0328961440989218</v>
      </c>
      <c r="F39" s="110" t="n">
        <f aca="false">IF(F$6="sailed",0,$D$33*F27*(F13*F16+(1-F13)*F17)+(1-$D$33)*F27*F18)</f>
        <v>-0.0334077015052919</v>
      </c>
      <c r="G39" s="110" t="n">
        <f aca="false">IF(G$6="sailed",0,$D$33*G27*(G13*G16+(1-G13)*G17)+(1-$D$33)*G27*G18)</f>
        <v>-0.0287358862783894</v>
      </c>
      <c r="H39" s="110" t="n">
        <f aca="false">IF(H$6="sailed",0,$D$33*H27*(H13*H16+(1-H13)*H17)+(1-$D$33)*H27*H18)</f>
        <v>-0.00283584530556769</v>
      </c>
      <c r="I39" s="110" t="n">
        <f aca="false">IF(I$6="sailed",0,$D$33*I27*(I13*I16+(1-I13)*I17)+(1-$D$33)*I27*I18)</f>
        <v>-0.00609022323193613</v>
      </c>
    </row>
    <row r="40" customFormat="false" ht="15" hidden="false" customHeight="false" outlineLevel="0" collapsed="false">
      <c r="B40" s="9" t="s">
        <v>55</v>
      </c>
      <c r="D40" s="84" t="n">
        <f aca="false">IF(D$6="sailed",0,$D$33*D28*(D13*D16+(1-D13)*D17)+(1-$D$33)*D28*D18)</f>
        <v>0</v>
      </c>
      <c r="E40" s="84" t="n">
        <f aca="false">IF(E$6="sailed",0,$D$33*E28*(E13*E16+(1-E13)*E17)+(1-$D$33)*E28*E18)</f>
        <v>-0.0328961440989218</v>
      </c>
      <c r="F40" s="84" t="n">
        <f aca="false">IF(F$6="sailed",0,$D$33*F28*(F13*F16+(1-F13)*F17)+(1-$D$33)*F28*F18)</f>
        <v>-0.0185598341696066</v>
      </c>
      <c r="G40" s="84" t="n">
        <f aca="false">IF(G$6="sailed",0,$D$33*G28*(G13*G16+(1-G13)*G17)+(1-$D$33)*G28*G18)</f>
        <v>-0.013061766490177</v>
      </c>
      <c r="H40" s="84" t="n">
        <f aca="false">IF(H$6="sailed",0,$D$33*H28*(H13*H16+(1-H13)*H17)+(1-$D$33)*H28*H18)</f>
        <v>-0.00109070973291065</v>
      </c>
      <c r="I40" s="84" t="n">
        <f aca="false">IF(I$6="sailed",0,$D$33*I28*(I13*I16+(1-I13)*I17)+(1-$D$33)*I28*I18)</f>
        <v>-0.00203007441064538</v>
      </c>
    </row>
    <row r="41" customFormat="false" ht="15" hidden="false" customHeight="false" outlineLevel="0" collapsed="false">
      <c r="B41" s="9" t="s">
        <v>128</v>
      </c>
      <c r="C41" s="9" t="s">
        <v>451</v>
      </c>
      <c r="D41" s="84" t="n">
        <f aca="false">IF(D$6="sailed",0,$D$33*D29*(D13*IF(D$6="2H 2027",MIN(D16,$D$30*$F$16),D16)+(1-D13)*D17)+(1-$D$33)*D29*D18)</f>
        <v>0</v>
      </c>
      <c r="E41" s="84" t="n">
        <f aca="false">IF(E$6="sailed",0,$D$33*E29*(E13*IF(E$6="2H 2027",MIN(E16,$D$30*$F$16),E16)+(1-E13)*E17)+(1-$D$33)*E29*E18)</f>
        <v>-0.0378305657137601</v>
      </c>
      <c r="F41" s="84" t="n">
        <f aca="false">IF(F$6="sailed",0,$D$33*F29*(F13*IF(F$6="2H 2027",MIN(F16,$D$30*$F$16),F16)+(1-F13)*F17)+(1-$D$33)*F29*F18)</f>
        <v>-0.0356348816056447</v>
      </c>
      <c r="G41" s="84" t="n">
        <f aca="false">IF(G$6="sailed",0,$D$33*G29*(G13*IF(G$6="2H 2027",MIN(G16,$D$30*$F$16),G16)+(1-G13)*G17)+(1-$D$33)*G29*G18)</f>
        <v>-0.0303032982572106</v>
      </c>
      <c r="H41" s="84" t="n">
        <f aca="false">IF(H$6="sailed",0,$D$33*H29*(H13*IF(H$6="2H 2027",MIN(H16,$D$30*$F$16),H16)+(1-H13)*H17)+(1-$D$33)*H29*H18)</f>
        <v>-0.00767926463158554</v>
      </c>
      <c r="I41" s="84" t="n">
        <f aca="false">IF(I$6="sailed",0,$D$33*I29*(I13*IF(I$6="2H 2027",MIN(I16,$D$30*$F$16),I16)+(1-I13)*I17)+(1-$D$33)*I29*I18)</f>
        <v>-0.0203817214482095</v>
      </c>
    </row>
    <row r="42" customFormat="false" ht="15" hidden="false" customHeight="false" outlineLevel="0" collapsed="false">
      <c r="B42" s="19" t="s">
        <v>452</v>
      </c>
      <c r="D42" s="110" t="n">
        <f aca="false">D39-D40</f>
        <v>0</v>
      </c>
      <c r="E42" s="110" t="n">
        <f aca="false">E39-E40</f>
        <v>0</v>
      </c>
      <c r="F42" s="110" t="n">
        <f aca="false">F39-F40</f>
        <v>-0.0148478673356853</v>
      </c>
      <c r="G42" s="110" t="n">
        <f aca="false">G39-G40</f>
        <v>-0.0156741197882124</v>
      </c>
      <c r="H42" s="110" t="n">
        <f aca="false">H39-H40</f>
        <v>-0.00174513557265704</v>
      </c>
      <c r="I42" s="110" t="n">
        <f aca="false">I39-I40</f>
        <v>-0.00406014882129075</v>
      </c>
    </row>
    <row r="43" customFormat="false" ht="15" hidden="false" customHeight="false" outlineLevel="0" collapsed="false">
      <c r="B43" s="9" t="s">
        <v>453</v>
      </c>
      <c r="D43" s="84" t="n">
        <f aca="false">IF(D$6="sailed",0,$D$33*D27*D13*D20)</f>
        <v>0</v>
      </c>
      <c r="E43" s="84" t="n">
        <f aca="false">IF(E$6="sailed",0,$D$33*E27*E13*E20)</f>
        <v>-0.0225666153585388</v>
      </c>
      <c r="F43" s="84" t="n">
        <f aca="false">IF(F$6="sailed",0,$D$33*F27*F13*F20)</f>
        <v>-0.030132354283585</v>
      </c>
      <c r="G43" s="84" t="n">
        <f aca="false">IF(G$6="sailed",0,$D$33*G27*G13*G20)</f>
        <v>-0.0222975663542368</v>
      </c>
      <c r="H43" s="84" t="n">
        <f aca="false">IF(H$6="sailed",0,$D$33*H27*H13*H20)</f>
        <v>-0.00184511212419728</v>
      </c>
      <c r="I43" s="84" t="n">
        <f aca="false">IF(I$6="sailed",0,$D$33*I27*I13*I20)</f>
        <v>-0.00544438027286604</v>
      </c>
    </row>
    <row r="45" customFormat="false" ht="15" hidden="false" customHeight="false" outlineLevel="0" collapsed="false">
      <c r="B45" s="19" t="s">
        <v>454</v>
      </c>
    </row>
    <row r="46" customFormat="false" ht="15" hidden="false" customHeight="false" outlineLevel="0" collapsed="false">
      <c r="B46" s="9" t="s">
        <v>455</v>
      </c>
      <c r="C46" s="9" t="s">
        <v>456</v>
      </c>
      <c r="D46" s="87" t="n">
        <v>0.015</v>
      </c>
    </row>
    <row r="47" customFormat="false" ht="15" hidden="false" customHeight="false" outlineLevel="0" collapsed="false">
      <c r="B47" s="9" t="s">
        <v>457</v>
      </c>
      <c r="D47" s="87" t="n">
        <v>0.4</v>
      </c>
      <c r="E47" s="87" t="n">
        <v>0.6</v>
      </c>
      <c r="F47" s="87" t="n">
        <v>0.8667</v>
      </c>
      <c r="G47" s="87" t="n">
        <v>0.8833</v>
      </c>
      <c r="H47" s="87" t="n">
        <v>0.9</v>
      </c>
      <c r="I47" s="87" t="n">
        <v>0.9333</v>
      </c>
    </row>
    <row r="48" customFormat="false" ht="15" hidden="false" customHeight="false" outlineLevel="0" collapsed="false">
      <c r="B48" s="9" t="s">
        <v>458</v>
      </c>
      <c r="D48" s="87" t="n">
        <v>0</v>
      </c>
      <c r="E48" s="87" t="n">
        <v>0</v>
      </c>
      <c r="F48" s="87" t="n">
        <v>0</v>
      </c>
      <c r="G48" s="87" t="n">
        <v>0.15</v>
      </c>
      <c r="H48" s="11" t="n">
        <f aca="false">D47</f>
        <v>0.4</v>
      </c>
      <c r="I48" s="11" t="n">
        <f aca="false">E47</f>
        <v>0.6</v>
      </c>
    </row>
    <row r="49" customFormat="false" ht="15" hidden="false" customHeight="false" outlineLevel="0" collapsed="false">
      <c r="B49" s="19" t="s">
        <v>459</v>
      </c>
      <c r="D49" s="110" t="n">
        <f aca="false">$D$46*(D47-D48)</f>
        <v>0.006</v>
      </c>
      <c r="E49" s="110" t="n">
        <f aca="false">$D$46*(E47-E48)</f>
        <v>0.009</v>
      </c>
      <c r="F49" s="110" t="n">
        <f aca="false">$D$46*(F47-F48)</f>
        <v>0.0130005</v>
      </c>
      <c r="G49" s="110" t="n">
        <f aca="false">$D$46*(G47-G48)</f>
        <v>0.0109995</v>
      </c>
      <c r="H49" s="110" t="n">
        <f aca="false">$D$46*(H47-H48)</f>
        <v>0.0075</v>
      </c>
      <c r="I49" s="110" t="n">
        <f aca="false">$D$46*(I47-I48)</f>
        <v>0.0049995</v>
      </c>
    </row>
    <row r="51" customFormat="false" ht="15" hidden="false" customHeight="false" outlineLevel="0" collapsed="false">
      <c r="B51" s="19" t="s">
        <v>460</v>
      </c>
    </row>
    <row r="52" customFormat="false" ht="15" hidden="false" customHeight="false" outlineLevel="0" collapsed="false">
      <c r="D52" s="107" t="n">
        <v>0.55</v>
      </c>
      <c r="E52" s="107" t="n">
        <v>0.6</v>
      </c>
      <c r="F52" s="107" t="n">
        <v>0.65</v>
      </c>
      <c r="G52" s="107" t="n">
        <v>0.7</v>
      </c>
      <c r="H52" s="107" t="n">
        <v>0.8</v>
      </c>
    </row>
    <row r="53" customFormat="false" ht="15" hidden="false" customHeight="false" outlineLevel="0" collapsed="false">
      <c r="C53" s="107" t="n">
        <v>-0.05</v>
      </c>
      <c r="D53" s="84" t="n">
        <f aca="false">D$52*$F$27*($F$13*$C53+(1-$F$13)*$F$17)+(1-D$52)*$F$27*$F$18</f>
        <v>-0.010966785764727</v>
      </c>
      <c r="E53" s="84" t="n">
        <f aca="false">E$52*$F$27*($F$13*$C53+(1-$F$13)*$F$17)+(1-E$52)*$F$27*$F$18</f>
        <v>-0.0119637662887931</v>
      </c>
      <c r="F53" s="84" t="n">
        <f aca="false">F$52*$F$27*($F$13*$C53+(1-$F$13)*$F$17)+(1-F$52)*$F$27*$F$18</f>
        <v>-0.0129607468128592</v>
      </c>
      <c r="G53" s="84" t="n">
        <f aca="false">G$52*$F$27*($F$13*$C53+(1-$F$13)*$F$17)+(1-G$52)*$F$27*$F$18</f>
        <v>-0.0139577273369253</v>
      </c>
      <c r="H53" s="84" t="n">
        <f aca="false">H$52*$F$27*($F$13*$C53+(1-$F$13)*$F$17)+(1-H$52)*$F$27*$F$18</f>
        <v>-0.0159516883850575</v>
      </c>
    </row>
    <row r="54" customFormat="false" ht="15" hidden="false" customHeight="false" outlineLevel="0" collapsed="false">
      <c r="C54" s="107" t="n">
        <v>-0.1</v>
      </c>
      <c r="D54" s="84" t="n">
        <f aca="false">D$52*$F$27*($F$13*$C54+(1-$F$13)*$F$17)+(1-D$52)*$F$27*$F$18</f>
        <v>-0.020072717004272</v>
      </c>
      <c r="E54" s="84" t="n">
        <f aca="false">E$52*$F$27*($F$13*$C54+(1-$F$13)*$F$17)+(1-E$52)*$F$27*$F$18</f>
        <v>-0.0218975094592058</v>
      </c>
      <c r="F54" s="84" t="n">
        <f aca="false">F$52*$F$27*($F$13*$C54+(1-$F$13)*$F$17)+(1-F$52)*$F$27*$F$18</f>
        <v>-0.0237223019141396</v>
      </c>
      <c r="G54" s="84" t="n">
        <f aca="false">G$52*$F$27*($F$13*$C54+(1-$F$13)*$F$17)+(1-G$52)*$F$27*$F$18</f>
        <v>-0.0255470943690734</v>
      </c>
      <c r="H54" s="84" t="n">
        <f aca="false">H$52*$F$27*($F$13*$C54+(1-$F$13)*$F$17)+(1-H$52)*$F$27*$F$18</f>
        <v>-0.0291966792789411</v>
      </c>
    </row>
    <row r="55" customFormat="false" ht="15" hidden="false" customHeight="false" outlineLevel="0" collapsed="false">
      <c r="C55" s="107" t="n">
        <v>-0.145</v>
      </c>
      <c r="D55" s="84" t="n">
        <f aca="false">D$52*$F$27*($F$13*$C55+(1-$F$13)*$F$17)+(1-D$52)*$F$27*$F$18</f>
        <v>-0.0282680551198624</v>
      </c>
      <c r="E55" s="84" t="n">
        <f aca="false">E$52*$F$27*($F$13*$C55+(1-$F$13)*$F$17)+(1-E$52)*$F$27*$F$18</f>
        <v>-0.0308378783125772</v>
      </c>
      <c r="F55" s="84" t="n">
        <f aca="false">F$52*$F$27*($F$13*$C55+(1-$F$13)*$F$17)+(1-F$52)*$F$27*$F$18</f>
        <v>-0.0334077015052919</v>
      </c>
      <c r="G55" s="84" t="n">
        <f aca="false">G$52*$F$27*($F$13*$C55+(1-$F$13)*$F$17)+(1-G$52)*$F$27*$F$18</f>
        <v>-0.0359775246980067</v>
      </c>
      <c r="H55" s="84" t="n">
        <f aca="false">H$52*$F$27*($F$13*$C55+(1-$F$13)*$F$17)+(1-H$52)*$F$27*$F$18</f>
        <v>-0.0411171710834362</v>
      </c>
    </row>
    <row r="56" customFormat="false" ht="15" hidden="false" customHeight="false" outlineLevel="0" collapsed="false">
      <c r="C56" s="107" t="n">
        <v>-0.2</v>
      </c>
      <c r="D56" s="84" t="n">
        <f aca="false">D$52*$F$27*($F$13*$C56+(1-$F$13)*$F$17)+(1-D$52)*$F$27*$F$18</f>
        <v>-0.0382845794833618</v>
      </c>
      <c r="E56" s="84" t="n">
        <f aca="false">E$52*$F$27*($F$13*$C56+(1-$F$13)*$F$17)+(1-E$52)*$F$27*$F$18</f>
        <v>-0.0417649958000311</v>
      </c>
      <c r="F56" s="84" t="n">
        <f aca="false">F$52*$F$27*($F$13*$C56+(1-$F$13)*$F$17)+(1-F$52)*$F$27*$F$18</f>
        <v>-0.0452454121167003</v>
      </c>
      <c r="G56" s="84" t="n">
        <f aca="false">G$52*$F$27*($F$13*$C56+(1-$F$13)*$F$17)+(1-G$52)*$F$27*$F$18</f>
        <v>-0.0487258284333696</v>
      </c>
      <c r="H56" s="84" t="n">
        <f aca="false">H$52*$F$27*($F$13*$C56+(1-$F$13)*$F$17)+(1-H$52)*$F$27*$F$18</f>
        <v>-0.0556866610667081</v>
      </c>
    </row>
    <row r="58" customFormat="false" ht="15" hidden="false" customHeight="false" outlineLevel="0" collapsed="false">
      <c r="B58" s="22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48"/>
    <col collapsed="false" customWidth="true" hidden="false" outlineLevel="0" max="10" min="4" style="0" width="11"/>
  </cols>
  <sheetData>
    <row r="2" customFormat="false" ht="15" hidden="false" customHeight="false" outlineLevel="0" collapsed="false">
      <c r="B2" s="20" t="s">
        <v>462</v>
      </c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false" outlineLevel="0" collapsed="false">
      <c r="B3" s="22" t="s">
        <v>463</v>
      </c>
    </row>
    <row r="5" customFormat="false" ht="15" hidden="false" customHeight="false" outlineLevel="0" collapsed="false">
      <c r="B5" s="19" t="s">
        <v>464</v>
      </c>
      <c r="C5" s="19" t="s">
        <v>401</v>
      </c>
    </row>
    <row r="6" customFormat="false" ht="15" hidden="false" customHeight="false" outlineLevel="0" collapsed="false">
      <c r="B6" s="9" t="s">
        <v>465</v>
      </c>
      <c r="C6" s="9" t="s">
        <v>466</v>
      </c>
      <c r="D6" s="24" t="n">
        <f aca="false">Deposits!F26</f>
        <v>-0.0825145380544259</v>
      </c>
    </row>
    <row r="7" customFormat="false" ht="15" hidden="false" customHeight="false" outlineLevel="0" collapsed="false">
      <c r="B7" s="9" t="s">
        <v>467</v>
      </c>
      <c r="C7" s="9" t="s">
        <v>468</v>
      </c>
      <c r="D7" s="11" t="n">
        <f aca="false">(('Quarterly (A)'!I5+'Quarterly (A)'!J5)/('Quarterly (A)'!I30+'Quarterly (A)'!J30))/(('Quarterly (A)'!E5+'Quarterly (A)'!F5)/('Quarterly (A)'!E30+'Quarterly (A)'!F30))-1</f>
        <v>-0.0557991761594643</v>
      </c>
    </row>
    <row r="8" customFormat="false" ht="15" hidden="false" customHeight="false" outlineLevel="0" collapsed="false">
      <c r="B8" s="9" t="s">
        <v>469</v>
      </c>
      <c r="D8" s="11" t="n">
        <f aca="false">D7-D6</f>
        <v>0.0267153618949616</v>
      </c>
    </row>
    <row r="9" customFormat="false" ht="15" hidden="false" customHeight="false" outlineLevel="0" collapsed="false">
      <c r="B9" s="9" t="s">
        <v>470</v>
      </c>
      <c r="D9" s="11" t="n">
        <f aca="false">-D6</f>
        <v>0.0825145380544259</v>
      </c>
    </row>
    <row r="10" customFormat="false" ht="15" hidden="false" customHeight="false" outlineLevel="0" collapsed="false">
      <c r="B10" s="9" t="s">
        <v>471</v>
      </c>
      <c r="D10" s="11" t="n">
        <f aca="false">AVERAGE(D8:D9)</f>
        <v>0.0546149499746937</v>
      </c>
    </row>
    <row r="11" customFormat="false" ht="15" hidden="false" customHeight="false" outlineLevel="0" collapsed="false">
      <c r="B11" s="19" t="s">
        <v>472</v>
      </c>
      <c r="C11" s="9" t="s">
        <v>473</v>
      </c>
      <c r="D11" s="87" t="n">
        <v>0.05</v>
      </c>
    </row>
    <row r="12" customFormat="false" ht="15" hidden="false" customHeight="false" outlineLevel="0" collapsed="false">
      <c r="B12" s="9" t="s">
        <v>474</v>
      </c>
      <c r="C12" s="9" t="s">
        <v>475</v>
      </c>
      <c r="D12" s="87" t="n">
        <v>0.08</v>
      </c>
    </row>
    <row r="13" customFormat="false" ht="15" hidden="false" customHeight="false" outlineLevel="0" collapsed="false">
      <c r="B13" s="9" t="s">
        <v>476</v>
      </c>
      <c r="D13" s="87" t="n">
        <v>0</v>
      </c>
    </row>
    <row r="14" customFormat="false" ht="15" hidden="false" customHeight="false" outlineLevel="0" collapsed="false">
      <c r="B14" s="22" t="s">
        <v>477</v>
      </c>
    </row>
    <row r="16" customFormat="false" ht="15" hidden="false" customHeight="false" outlineLevel="0" collapsed="false">
      <c r="B16" s="19" t="s">
        <v>478</v>
      </c>
    </row>
    <row r="17" customFormat="false" ht="15" hidden="false" customHeight="false" outlineLevel="0" collapsed="false">
      <c r="B17" s="9" t="s">
        <v>479</v>
      </c>
      <c r="D17" s="25" t="n">
        <f aca="false">('Quarterly (A)'!J31-'Quarterly (A)'!F31)*100</f>
        <v>-1.5357219793827</v>
      </c>
    </row>
    <row r="18" customFormat="false" ht="15" hidden="false" customHeight="false" outlineLevel="0" collapsed="false">
      <c r="B18" s="9" t="s">
        <v>480</v>
      </c>
      <c r="D18" s="24" t="n">
        <f aca="false">Deposits!F25</f>
        <v>-0.0607179099389187</v>
      </c>
    </row>
    <row r="19" customFormat="false" ht="15" hidden="false" customHeight="false" outlineLevel="0" collapsed="false">
      <c r="B19" s="9" t="s">
        <v>481</v>
      </c>
      <c r="D19" s="111" t="n">
        <f aca="false">D17/(D18*100)</f>
        <v>0.252927345642762</v>
      </c>
    </row>
    <row r="20" customFormat="false" ht="15" hidden="false" customHeight="false" outlineLevel="0" collapsed="false">
      <c r="B20" s="9" t="s">
        <v>482</v>
      </c>
      <c r="D20" s="111" t="n">
        <f aca="false">(('Net Yield Build'!L47-'Quarterly (A)'!G31)*100)/(Deposits!F26*100)</f>
        <v>0.290857836278134</v>
      </c>
    </row>
    <row r="21" customFormat="false" ht="15" hidden="false" customHeight="false" outlineLevel="0" collapsed="false">
      <c r="B21" s="9" t="s">
        <v>483</v>
      </c>
      <c r="D21" s="25" t="n">
        <f aca="false">AVERAGE(D19:D20)*Deposits!F26*100</f>
        <v>-2.24350915435223</v>
      </c>
    </row>
    <row r="22" customFormat="false" ht="15" hidden="false" customHeight="false" outlineLevel="0" collapsed="false">
      <c r="B22" s="19" t="s">
        <v>484</v>
      </c>
      <c r="C22" s="9" t="s">
        <v>485</v>
      </c>
      <c r="D22" s="87" t="n">
        <v>0.2</v>
      </c>
    </row>
    <row r="24" customFormat="false" ht="15" hidden="false" customHeight="false" outlineLevel="0" collapsed="false">
      <c r="D24" s="23" t="s">
        <v>66</v>
      </c>
      <c r="E24" s="23" t="s">
        <v>67</v>
      </c>
      <c r="F24" s="23" t="s">
        <v>68</v>
      </c>
      <c r="G24" s="23" t="s">
        <v>69</v>
      </c>
      <c r="H24" s="23" t="s">
        <v>70</v>
      </c>
      <c r="I24" s="23" t="s">
        <v>71</v>
      </c>
    </row>
    <row r="25" customFormat="false" ht="15" hidden="false" customHeight="false" outlineLevel="0" collapsed="false">
      <c r="B25" s="9" t="s">
        <v>486</v>
      </c>
      <c r="D25" s="112" t="n">
        <v>0</v>
      </c>
      <c r="E25" s="112" t="n">
        <v>0</v>
      </c>
      <c r="F25" s="112" t="n">
        <v>1</v>
      </c>
      <c r="G25" s="112" t="n">
        <v>1</v>
      </c>
      <c r="H25" s="112" t="n">
        <v>1</v>
      </c>
      <c r="I25" s="112" t="n">
        <v>1</v>
      </c>
    </row>
    <row r="26" customFormat="false" ht="15" hidden="false" customHeight="false" outlineLevel="0" collapsed="false">
      <c r="B26" s="19" t="s">
        <v>487</v>
      </c>
      <c r="D26" s="113" t="n">
        <f aca="false">-D25*$D$11*$D$22*100</f>
        <v>-0</v>
      </c>
      <c r="E26" s="113" t="n">
        <f aca="false">-E25*$D$11*$D$22*100</f>
        <v>-0</v>
      </c>
      <c r="F26" s="113" t="n">
        <f aca="false">-F25*$D$11*$D$22*100</f>
        <v>-1</v>
      </c>
      <c r="G26" s="113" t="n">
        <f aca="false">-G25*$D$11*$D$22*100</f>
        <v>-1</v>
      </c>
      <c r="H26" s="113" t="n">
        <f aca="false">-H25*$D$11*$D$22*100</f>
        <v>-1</v>
      </c>
      <c r="I26" s="113" t="n">
        <f aca="false">-I25*$D$11*$D$22*100</f>
        <v>-1</v>
      </c>
    </row>
    <row r="27" customFormat="false" ht="15" hidden="false" customHeight="false" outlineLevel="0" collapsed="false">
      <c r="B27" s="9" t="s">
        <v>488</v>
      </c>
      <c r="D27" s="25" t="n">
        <f aca="false">-D25*$D$12*$D$22*100</f>
        <v>-0</v>
      </c>
      <c r="E27" s="25" t="n">
        <f aca="false">-E25*$D$12*$D$22*100</f>
        <v>-0</v>
      </c>
      <c r="F27" s="25" t="n">
        <f aca="false">-F25*$D$12*$D$22*100</f>
        <v>-1.6</v>
      </c>
      <c r="G27" s="25" t="n">
        <f aca="false">-G25*$D$12*$D$22*100</f>
        <v>-1.6</v>
      </c>
      <c r="H27" s="25" t="n">
        <f aca="false">-H25*$D$12*$D$22*100</f>
        <v>-1.6</v>
      </c>
      <c r="I27" s="25" t="n">
        <f aca="false">-I25*$D$12*$D$22*100</f>
        <v>-1.6</v>
      </c>
    </row>
    <row r="29" customFormat="false" ht="15" hidden="false" customHeight="false" outlineLevel="0" collapsed="false">
      <c r="B29" s="19" t="s">
        <v>489</v>
      </c>
    </row>
    <row r="30" customFormat="false" ht="15" hidden="false" customHeight="false" outlineLevel="0" collapsed="false">
      <c r="B30" s="9" t="s">
        <v>490</v>
      </c>
      <c r="C30" s="9" t="s">
        <v>491</v>
      </c>
      <c r="D30" s="11" t="n">
        <f aca="false">'KPI 1 Price Build'!E13*'KPI 1 Price Build'!E16+(1-'KPI 1 Price Build'!E13)*'KPI 1 Price Build'!E17</f>
        <v>-0.253047262299399</v>
      </c>
    </row>
    <row r="31" customFormat="false" ht="15" hidden="false" customHeight="false" outlineLevel="0" collapsed="false">
      <c r="B31" s="9" t="s">
        <v>492</v>
      </c>
      <c r="D31" s="112" t="n">
        <v>0</v>
      </c>
      <c r="E31" s="112" t="n">
        <v>0</v>
      </c>
      <c r="F31" s="112" t="n">
        <v>0</v>
      </c>
      <c r="G31" s="112" t="n">
        <v>0</v>
      </c>
      <c r="H31" s="112" t="n">
        <v>1</v>
      </c>
      <c r="I31" s="112" t="n">
        <v>1</v>
      </c>
    </row>
    <row r="32" customFormat="false" ht="15" hidden="false" customHeight="false" outlineLevel="0" collapsed="false">
      <c r="B32" s="19" t="s">
        <v>493</v>
      </c>
      <c r="C32" s="9" t="s">
        <v>494</v>
      </c>
      <c r="D32" s="110" t="n">
        <f aca="false">D31*$D$11*(1-$D$22)*$D$30*'KPI 1 Price Build'!$D$33</f>
        <v>-0</v>
      </c>
      <c r="E32" s="110" t="n">
        <f aca="false">E31*$D$11*(1-$D$22)*$D$30*'KPI 1 Price Build'!$D$33</f>
        <v>-0</v>
      </c>
      <c r="F32" s="110" t="n">
        <f aca="false">F31*$D$11*(1-$D$22)*$D$30*'KPI 1 Price Build'!$D$33</f>
        <v>-0</v>
      </c>
      <c r="G32" s="110" t="n">
        <f aca="false">G31*$D$11*(1-$D$22)*$D$30*'KPI 1 Price Build'!$D$33</f>
        <v>-0</v>
      </c>
      <c r="H32" s="110" t="n">
        <f aca="false">H31*$D$11*(1-$D$22)*$D$30*'KPI 1 Price Build'!$D$33</f>
        <v>-0.00657922881978437</v>
      </c>
      <c r="I32" s="110" t="n">
        <f aca="false">I31*$D$11*(1-$D$22)*$D$30*'KPI 1 Price Build'!$D$33</f>
        <v>-0.00657922881978437</v>
      </c>
    </row>
    <row r="33" customFormat="false" ht="15" hidden="false" customHeight="false" outlineLevel="0" collapsed="false">
      <c r="B33" s="9" t="s">
        <v>495</v>
      </c>
      <c r="D33" s="84" t="n">
        <f aca="false">D31*$D$12*(1-$D$22)*$D$30*'KPI 1 Price Build'!$D$33</f>
        <v>-0</v>
      </c>
      <c r="E33" s="84" t="n">
        <f aca="false">E31*$D$12*(1-$D$22)*$D$30*'KPI 1 Price Build'!$D$33</f>
        <v>-0</v>
      </c>
      <c r="F33" s="84" t="n">
        <f aca="false">F31*$D$12*(1-$D$22)*$D$30*'KPI 1 Price Build'!$D$33</f>
        <v>-0</v>
      </c>
      <c r="G33" s="84" t="n">
        <f aca="false">G31*$D$12*(1-$D$22)*$D$30*'KPI 1 Price Build'!$D$33</f>
        <v>-0</v>
      </c>
      <c r="H33" s="84" t="n">
        <f aca="false">H31*$D$12*(1-$D$22)*$D$30*'KPI 1 Price Build'!$D$33</f>
        <v>-0.010526766111655</v>
      </c>
      <c r="I33" s="84" t="n">
        <f aca="false">I31*$D$12*(1-$D$22)*$D$30*'KPI 1 Price Build'!$D$33</f>
        <v>-0.010526766111655</v>
      </c>
    </row>
    <row r="35" customFormat="false" ht="15" hidden="false" customHeight="false" outlineLevel="0" collapsed="false">
      <c r="B35" s="19" t="s">
        <v>496</v>
      </c>
    </row>
    <row r="36" customFormat="false" ht="15" hidden="false" customHeight="false" outlineLevel="0" collapsed="false">
      <c r="B36" s="9" t="s">
        <v>497</v>
      </c>
      <c r="D36" s="112" t="n">
        <v>0</v>
      </c>
    </row>
    <row r="37" customFormat="false" ht="15" hidden="false" customHeight="false" outlineLevel="0" collapsed="false">
      <c r="B37" s="9" t="s">
        <v>498</v>
      </c>
      <c r="D37" s="87" t="n">
        <v>0.333333333333333</v>
      </c>
    </row>
    <row r="38" customFormat="false" ht="15" hidden="false" customHeight="false" outlineLevel="0" collapsed="false">
      <c r="B38" s="9" t="s">
        <v>499</v>
      </c>
      <c r="D38" s="87" t="n">
        <v>0.333333333333333</v>
      </c>
    </row>
    <row r="39" customFormat="false" ht="15" hidden="false" customHeight="false" outlineLevel="0" collapsed="false">
      <c r="B39" s="9" t="s">
        <v>500</v>
      </c>
      <c r="D39" s="87" t="n">
        <v>0.5</v>
      </c>
    </row>
    <row r="40" customFormat="false" ht="15" hidden="false" customHeight="false" outlineLevel="0" collapsed="false">
      <c r="B40" s="9" t="s">
        <v>501</v>
      </c>
      <c r="D40" s="112" t="n">
        <v>8</v>
      </c>
    </row>
    <row r="41" customFormat="false" ht="15" hidden="false" customHeight="false" outlineLevel="0" collapsed="false">
      <c r="D41" s="23" t="s">
        <v>66</v>
      </c>
      <c r="E41" s="23" t="s">
        <v>67</v>
      </c>
      <c r="F41" s="23" t="s">
        <v>68</v>
      </c>
      <c r="G41" s="23" t="s">
        <v>69</v>
      </c>
      <c r="H41" s="23" t="s">
        <v>70</v>
      </c>
      <c r="I41" s="23" t="s">
        <v>71</v>
      </c>
    </row>
    <row r="42" customFormat="false" ht="15" hidden="false" customHeight="false" outlineLevel="0" collapsed="false">
      <c r="B42" s="9" t="s">
        <v>502</v>
      </c>
      <c r="D42" s="11" t="n">
        <f aca="false">'KPI 1 Price Build'!D13*'KPI 1 Price Build'!D16+(1-'KPI 1 Price Build'!D13)*'KPI 1 Price Build'!D17</f>
        <v>0</v>
      </c>
      <c r="E42" s="11" t="n">
        <f aca="false">'KPI 1 Price Build'!E13*'KPI 1 Price Build'!E16+(1-'KPI 1 Price Build'!E13)*'KPI 1 Price Build'!E17</f>
        <v>-0.253047262299399</v>
      </c>
      <c r="F42" s="11" t="n">
        <f aca="false">'KPI 1 Price Build'!F13*'KPI 1 Price Build'!F16+(1-'KPI 1 Price Build'!F13)*'KPI 1 Price Build'!F17</f>
        <v>-0.114214364120656</v>
      </c>
      <c r="G42" s="11" t="n">
        <f aca="false">'KPI 1 Price Build'!G13*'KPI 1 Price Build'!G16+(1-'KPI 1 Price Build'!G13)*'KPI 1 Price Build'!G17</f>
        <v>-0.0803801014780123</v>
      </c>
      <c r="H42" s="11" t="n">
        <f aca="false">'KPI 1 Price Build'!H13*'KPI 1 Price Build'!H16+(1-'KPI 1 Price Build'!H13)*'KPI 1 Price Build'!H17</f>
        <v>-0.00671205989483476</v>
      </c>
      <c r="I42" s="11" t="n">
        <f aca="false">'KPI 1 Price Build'!I13*'KPI 1 Price Build'!I16+(1-'KPI 1 Price Build'!I13)*'KPI 1 Price Build'!I17</f>
        <v>-0.0124927656039715</v>
      </c>
    </row>
    <row r="43" customFormat="false" ht="15" hidden="false" customHeight="false" outlineLevel="0" collapsed="false">
      <c r="B43" s="9" t="s">
        <v>503</v>
      </c>
      <c r="D43" s="87" t="n">
        <v>1</v>
      </c>
      <c r="E43" s="87" t="n">
        <v>1</v>
      </c>
      <c r="F43" s="87" t="n">
        <v>0.3</v>
      </c>
      <c r="G43" s="87" t="n">
        <v>0</v>
      </c>
      <c r="H43" s="87" t="n">
        <v>0</v>
      </c>
      <c r="I43" s="87" t="n">
        <v>0</v>
      </c>
    </row>
    <row r="44" customFormat="false" ht="15" hidden="false" customHeight="false" outlineLevel="0" collapsed="false">
      <c r="B44" s="9" t="s">
        <v>504</v>
      </c>
      <c r="D44" s="11" t="n">
        <f aca="false">1-'KPI 1 Price Build'!D27</f>
        <v>1</v>
      </c>
      <c r="E44" s="11" t="n">
        <f aca="false">1-'KPI 1 Price Build'!E27</f>
        <v>0.8</v>
      </c>
      <c r="F44" s="11" t="n">
        <f aca="false">1-'KPI 1 Price Build'!F27</f>
        <v>0.55</v>
      </c>
      <c r="G44" s="11" t="n">
        <f aca="false">1-'KPI 1 Price Build'!G27</f>
        <v>0.45</v>
      </c>
      <c r="H44" s="11" t="n">
        <f aca="false">1-'KPI 1 Price Build'!H27</f>
        <v>0.35</v>
      </c>
      <c r="I44" s="11" t="n">
        <f aca="false">1-'KPI 1 Price Build'!I27</f>
        <v>0.25</v>
      </c>
    </row>
    <row r="45" customFormat="false" ht="15" hidden="false" customHeight="false" outlineLevel="0" collapsed="false">
      <c r="B45" s="9" t="s">
        <v>505</v>
      </c>
      <c r="D45" s="84" t="n">
        <f aca="false">D44*(1-D43)*$D$37*D42*'KPI 1 Price Build'!$D$33</f>
        <v>0</v>
      </c>
      <c r="E45" s="84" t="n">
        <f aca="false">E44*(1-E43)*$D$37*E42*'KPI 1 Price Build'!$D$33</f>
        <v>-0</v>
      </c>
      <c r="F45" s="84" t="n">
        <f aca="false">F44*(1-F43)*$D$37*F42*'KPI 1 Price Build'!$D$33</f>
        <v>-0.00952738154039807</v>
      </c>
      <c r="G45" s="84" t="n">
        <f aca="false">G44*(1-G43)*$D$37*G42*'KPI 1 Price Build'!$D$33</f>
        <v>-0.0078370598941062</v>
      </c>
      <c r="H45" s="84" t="n">
        <f aca="false">H44*(1-H43)*$D$37*H42*'KPI 1 Price Build'!$D$33</f>
        <v>-0.000508997875358303</v>
      </c>
      <c r="I45" s="84" t="n">
        <f aca="false">I44*(1-I43)*$D$37*I42*'KPI 1 Price Build'!$D$33</f>
        <v>-0.000676691470215125</v>
      </c>
    </row>
    <row r="46" customFormat="false" ht="15" hidden="false" customHeight="false" outlineLevel="0" collapsed="false">
      <c r="B46" s="9" t="s">
        <v>506</v>
      </c>
      <c r="D46" s="84" t="n">
        <f aca="false">D44*D43*'Fare Panel'!$F$196*$D$38*$D$39*D42*'KPI 1 Price Build'!$D$33</f>
        <v>0</v>
      </c>
      <c r="E46" s="84" t="n">
        <f aca="false">E44*E43*'Fare Panel'!$F$196*$D$38*$D$39*E42*'KPI 1 Price Build'!$D$33</f>
        <v>-0.0144966058741011</v>
      </c>
      <c r="F46" s="84" t="n">
        <f aca="false">F44*F43*'Fare Panel'!$F$196*$D$38*$D$39*F42*'KPI 1 Price Build'!$D$33</f>
        <v>-0.00134952014555275</v>
      </c>
      <c r="G46" s="84" t="n">
        <f aca="false">G44*G43*'Fare Panel'!$F$196*$D$38*$D$39*G42*'KPI 1 Price Build'!$D$33</f>
        <v>-0</v>
      </c>
      <c r="H46" s="84" t="n">
        <f aca="false">H44*H43*'Fare Panel'!$F$196*$D$38*$D$39*H42*'KPI 1 Price Build'!$D$33</f>
        <v>-0</v>
      </c>
      <c r="I46" s="84" t="n">
        <f aca="false">I44*I43*'Fare Panel'!$F$196*$D$38*$D$39*I42*'KPI 1 Price Build'!$D$33</f>
        <v>-0</v>
      </c>
    </row>
    <row r="47" customFormat="false" ht="15" hidden="false" customHeight="false" outlineLevel="0" collapsed="false">
      <c r="B47" s="9" t="s">
        <v>507</v>
      </c>
      <c r="D47" s="35" t="n">
        <f aca="false">'Net Yield Build'!L32</f>
        <v>1922.44956839292</v>
      </c>
      <c r="E47" s="35" t="n">
        <f aca="false">'Net Yield Build'!M32</f>
        <v>1432.51201004957</v>
      </c>
      <c r="F47" s="35" t="n">
        <f aca="false">'Net Yield Build'!N32</f>
        <v>1572.88754823096</v>
      </c>
      <c r="G47" s="35" t="n">
        <f aca="false">'Net Yield Build'!O32</f>
        <v>1743.04244342923</v>
      </c>
      <c r="H47" s="35" t="n">
        <f aca="false">'Net Yield Build'!P32</f>
        <v>2073.51942600051</v>
      </c>
      <c r="I47" s="35" t="n">
        <f aca="false">'Net Yield Build'!Q32</f>
        <v>1554.18604886765</v>
      </c>
    </row>
    <row r="48" customFormat="false" ht="15" hidden="false" customHeight="false" outlineLevel="0" collapsed="false">
      <c r="B48" s="9" t="s">
        <v>508</v>
      </c>
      <c r="D48" s="37" t="n">
        <f aca="false">-D46*D47</f>
        <v>-0</v>
      </c>
      <c r="E48" s="37" t="n">
        <f aca="false">-E46*E47</f>
        <v>20.766562019605</v>
      </c>
      <c r="F48" s="37" t="n">
        <f aca="false">-F46*F47</f>
        <v>2.12264343302675</v>
      </c>
      <c r="G48" s="37" t="n">
        <f aca="false">-G46*G47</f>
        <v>0</v>
      </c>
      <c r="H48" s="37" t="n">
        <f aca="false">-H46*H47</f>
        <v>0</v>
      </c>
      <c r="I48" s="37" t="n">
        <f aca="false">-I46*I47</f>
        <v>0</v>
      </c>
    </row>
    <row r="49" customFormat="false" ht="15" hidden="false" customHeight="false" outlineLevel="0" collapsed="false">
      <c r="B49" s="9" t="s">
        <v>509</v>
      </c>
      <c r="D49" s="37" t="n">
        <f aca="false">0</f>
        <v>0</v>
      </c>
      <c r="E49" s="37" t="n">
        <f aca="false">SUM($D$48:D48)/$D$40</f>
        <v>0</v>
      </c>
      <c r="F49" s="37" t="n">
        <f aca="false">SUM($D$48:E48)/$D$40</f>
        <v>2.59582025245062</v>
      </c>
      <c r="G49" s="37" t="n">
        <f aca="false">SUM($D$48:F48)/$D$40</f>
        <v>2.86115068157896</v>
      </c>
      <c r="H49" s="37" t="n">
        <f aca="false">SUM($D$48:G48)/$D$40</f>
        <v>2.86115068157896</v>
      </c>
      <c r="I49" s="37" t="n">
        <f aca="false">SUM($D$48:H48)/$D$40</f>
        <v>2.86115068157896</v>
      </c>
    </row>
    <row r="50" customFormat="false" ht="15" hidden="false" customHeight="false" outlineLevel="0" collapsed="false">
      <c r="B50" s="9" t="s">
        <v>510</v>
      </c>
      <c r="D50" s="84" t="n">
        <f aca="false">-D49/D47</f>
        <v>-0</v>
      </c>
      <c r="E50" s="84" t="n">
        <f aca="false">-E49/E47</f>
        <v>-0</v>
      </c>
      <c r="F50" s="84" t="n">
        <f aca="false">-F49/F47</f>
        <v>-0.00165035336147849</v>
      </c>
      <c r="G50" s="84" t="n">
        <f aca="false">-G49/G47</f>
        <v>-0.00164146931267491</v>
      </c>
      <c r="H50" s="84" t="n">
        <f aca="false">-H49/H47</f>
        <v>-0.00137985236390944</v>
      </c>
      <c r="I50" s="84" t="n">
        <f aca="false">-I49/I47</f>
        <v>-0.00184093190365693</v>
      </c>
    </row>
    <row r="51" customFormat="false" ht="15" hidden="false" customHeight="false" outlineLevel="0" collapsed="false">
      <c r="B51" s="19" t="s">
        <v>511</v>
      </c>
      <c r="D51" s="110" t="n">
        <f aca="false">D45+D50</f>
        <v>0</v>
      </c>
      <c r="E51" s="110" t="n">
        <f aca="false">E45+E50</f>
        <v>-0</v>
      </c>
      <c r="F51" s="110" t="n">
        <f aca="false">F45+F50</f>
        <v>-0.0111777349018766</v>
      </c>
      <c r="G51" s="110" t="n">
        <f aca="false">G45+G50</f>
        <v>-0.0094785292067811</v>
      </c>
      <c r="H51" s="110" t="n">
        <f aca="false">H45+H50</f>
        <v>-0.00188885023926775</v>
      </c>
      <c r="I51" s="110" t="n">
        <f aca="false">I45+I50</f>
        <v>-0.00251762337387205</v>
      </c>
    </row>
    <row r="52" customFormat="false" ht="15" hidden="false" customHeight="false" outlineLevel="0" collapsed="false">
      <c r="B52" s="9" t="s">
        <v>512</v>
      </c>
      <c r="D52" s="84" t="n">
        <f aca="false">D51*$D$36</f>
        <v>0</v>
      </c>
      <c r="E52" s="84" t="n">
        <f aca="false">E51*$D$36</f>
        <v>-0</v>
      </c>
      <c r="F52" s="84" t="n">
        <f aca="false">F51*$D$36</f>
        <v>-0</v>
      </c>
      <c r="G52" s="84" t="n">
        <f aca="false">G51*$D$36</f>
        <v>-0</v>
      </c>
      <c r="H52" s="84" t="n">
        <f aca="false">H51*$D$36</f>
        <v>-0</v>
      </c>
      <c r="I52" s="84" t="n">
        <f aca="false">I51*$D$36</f>
        <v>-0</v>
      </c>
    </row>
    <row r="53" customFormat="false" ht="15" hidden="false" customHeight="false" outlineLevel="0" collapsed="false">
      <c r="B53" s="9" t="s">
        <v>513</v>
      </c>
      <c r="D53" s="37" t="n">
        <f aca="false">SUMPRODUCT(F51:I51,'Net Yield Build'!N59:Q59)</f>
        <v>-40.8467512974603</v>
      </c>
    </row>
    <row r="54" customFormat="false" ht="15" hidden="false" customHeight="false" outlineLevel="0" collapsed="false">
      <c r="B54" s="9" t="s">
        <v>514</v>
      </c>
      <c r="D54" s="84" t="n">
        <f aca="false">D53/'Net Yield Build'!U64</f>
        <v>-0.00528543330283121</v>
      </c>
    </row>
    <row r="56" customFormat="false" ht="15" hidden="false" customHeight="false" outlineLevel="0" collapsed="false">
      <c r="B56" s="19" t="s">
        <v>515</v>
      </c>
    </row>
    <row r="57" customFormat="false" ht="15" hidden="false" customHeight="false" outlineLevel="0" collapsed="false">
      <c r="B57" s="9" t="s">
        <v>516</v>
      </c>
      <c r="D57" s="10" t="n">
        <f aca="false">Deposits!C70</f>
        <v>2940.21973633837</v>
      </c>
    </row>
    <row r="58" customFormat="false" ht="15" hidden="false" customHeight="false" outlineLevel="0" collapsed="false">
      <c r="B58" s="9" t="s">
        <v>517</v>
      </c>
      <c r="D58" s="10" t="n">
        <f aca="false">Deposits!C72</f>
        <v>2970</v>
      </c>
    </row>
    <row r="59" customFormat="false" ht="15" hidden="false" customHeight="false" outlineLevel="0" collapsed="false">
      <c r="B59" s="9" t="s">
        <v>518</v>
      </c>
      <c r="D59" s="10" t="n">
        <f aca="false">Deposits!C73</f>
        <v>3110</v>
      </c>
    </row>
    <row r="60" customFormat="false" ht="15" hidden="false" customHeight="false" outlineLevel="0" collapsed="false">
      <c r="B60" s="9" t="s">
        <v>519</v>
      </c>
      <c r="D60" s="24" t="n">
        <f aca="false">Deposits!F31</f>
        <v>0.8</v>
      </c>
    </row>
    <row r="62" customFormat="false" ht="15" hidden="false" customHeight="false" outlineLevel="0" collapsed="false">
      <c r="B62" s="22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66"/>
  <sheetViews>
    <sheetView showFormulas="false" showGridLines="false" showRowColHeaders="true" showZeros="true" rightToLeft="false" tabSelected="false" showOutlineSymbols="true" defaultGridColor="true" view="normal" topLeftCell="A1" colorId="64" zoomScale="138" zoomScaleNormal="138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H28" activeCellId="0" sqref="H2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4" min="8" style="0" width="10"/>
  </cols>
  <sheetData>
    <row r="2" customFormat="false" ht="15" hidden="false" customHeight="false" outlineLevel="0" collapsed="false">
      <c r="B2" s="20" t="s">
        <v>521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5" hidden="false" customHeight="false" outlineLevel="0" collapsed="false">
      <c r="B3" s="9" t="s">
        <v>522</v>
      </c>
      <c r="E3" s="114" t="n">
        <f aca="false">66500/67220</f>
        <v>0.989288902112467</v>
      </c>
    </row>
    <row r="4" customFormat="false" ht="15" hidden="false" customHeight="false" outlineLevel="0" collapsed="false">
      <c r="B4" s="9" t="s">
        <v>523</v>
      </c>
    </row>
    <row r="5" customFormat="false" ht="15" hidden="false" customHeight="false" outlineLevel="0" collapsed="false">
      <c r="B5" s="4" t="s">
        <v>524</v>
      </c>
      <c r="C5" s="4" t="s">
        <v>525</v>
      </c>
      <c r="D5" s="4" t="s">
        <v>526</v>
      </c>
      <c r="E5" s="75" t="s">
        <v>527</v>
      </c>
      <c r="F5" s="75" t="s">
        <v>528</v>
      </c>
      <c r="G5" s="75" t="s">
        <v>529</v>
      </c>
      <c r="H5" s="115" t="n">
        <v>2024</v>
      </c>
      <c r="I5" s="115" t="n">
        <v>2025</v>
      </c>
      <c r="J5" s="115" t="n">
        <v>2026</v>
      </c>
      <c r="K5" s="115" t="n">
        <v>2027</v>
      </c>
      <c r="L5" s="115" t="n">
        <v>2028</v>
      </c>
      <c r="M5" s="115" t="n">
        <v>2029</v>
      </c>
      <c r="N5" s="115" t="n">
        <v>2030</v>
      </c>
    </row>
    <row r="6" customFormat="false" ht="15" hidden="false" customHeight="false" outlineLevel="0" collapsed="false">
      <c r="B6" s="9" t="s">
        <v>530</v>
      </c>
      <c r="C6" s="9" t="s">
        <v>531</v>
      </c>
      <c r="D6" s="9" t="s">
        <v>532</v>
      </c>
      <c r="E6" s="116" t="n">
        <v>3880</v>
      </c>
      <c r="F6" s="117" t="n">
        <v>2027.42</v>
      </c>
      <c r="G6" s="117" t="n">
        <v>2099</v>
      </c>
      <c r="H6" s="118" t="n">
        <f aca="false">$E6*MAX(0,MIN(H$5+1,$G6)-MAX(H$5,$F6))</f>
        <v>0</v>
      </c>
      <c r="I6" s="118" t="n">
        <f aca="false">$E6*MAX(0,MIN(I$5+1,$G6)-MAX(I$5,$F6))</f>
        <v>0</v>
      </c>
      <c r="J6" s="118" t="n">
        <f aca="false">$E6*MAX(0,MIN(J$5+1,$G6)-MAX(J$5,$F6))</f>
        <v>0</v>
      </c>
      <c r="K6" s="118" t="n">
        <f aca="false">$E6*MAX(0,MIN(K$5+1,$G6)-MAX(K$5,$F6))</f>
        <v>2250.39999999972</v>
      </c>
      <c r="L6" s="118" t="n">
        <f aca="false">$E6*MAX(0,MIN(L$5+1,$G6)-MAX(L$5,$F6))</f>
        <v>3880</v>
      </c>
      <c r="M6" s="118" t="n">
        <f aca="false">$E6*MAX(0,MIN(M$5+1,$G6)-MAX(M$5,$F6))</f>
        <v>3880</v>
      </c>
      <c r="N6" s="118" t="n">
        <f aca="false">$E6*MAX(0,MIN(N$5+1,$G6)-MAX(N$5,$F6))</f>
        <v>3880</v>
      </c>
    </row>
    <row r="7" customFormat="false" ht="15" hidden="false" customHeight="false" outlineLevel="0" collapsed="false">
      <c r="B7" s="9" t="s">
        <v>533</v>
      </c>
      <c r="C7" s="9" t="s">
        <v>531</v>
      </c>
      <c r="D7" s="9" t="s">
        <v>534</v>
      </c>
      <c r="E7" s="116" t="n">
        <v>3880</v>
      </c>
      <c r="F7" s="117" t="n">
        <v>2028.5</v>
      </c>
      <c r="G7" s="117" t="n">
        <v>2099</v>
      </c>
      <c r="H7" s="118" t="n">
        <f aca="false">$E7*MAX(0,MIN(H$5+1,$G7)-MAX(H$5,$F7))</f>
        <v>0</v>
      </c>
      <c r="I7" s="118" t="n">
        <f aca="false">$E7*MAX(0,MIN(I$5+1,$G7)-MAX(I$5,$F7))</f>
        <v>0</v>
      </c>
      <c r="J7" s="118" t="n">
        <f aca="false">$E7*MAX(0,MIN(J$5+1,$G7)-MAX(J$5,$F7))</f>
        <v>0</v>
      </c>
      <c r="K7" s="118" t="n">
        <f aca="false">$E7*MAX(0,MIN(K$5+1,$G7)-MAX(K$5,$F7))</f>
        <v>0</v>
      </c>
      <c r="L7" s="118" t="n">
        <f aca="false">$E7*MAX(0,MIN(L$5+1,$G7)-MAX(L$5,$F7))</f>
        <v>1940</v>
      </c>
      <c r="M7" s="118" t="n">
        <f aca="false">$E7*MAX(0,MIN(M$5+1,$G7)-MAX(M$5,$F7))</f>
        <v>3880</v>
      </c>
      <c r="N7" s="118" t="n">
        <f aca="false">$E7*MAX(0,MIN(N$5+1,$G7)-MAX(N$5,$F7))</f>
        <v>3880</v>
      </c>
    </row>
    <row r="8" customFormat="false" ht="15" hidden="false" customHeight="false" outlineLevel="0" collapsed="false">
      <c r="B8" s="9" t="s">
        <v>535</v>
      </c>
      <c r="C8" s="9" t="s">
        <v>531</v>
      </c>
      <c r="D8" s="9" t="s">
        <v>536</v>
      </c>
      <c r="E8" s="116" t="n">
        <v>3565</v>
      </c>
      <c r="F8" s="117" t="n">
        <v>2026.25</v>
      </c>
      <c r="G8" s="117" t="n">
        <v>2099</v>
      </c>
      <c r="H8" s="118" t="n">
        <f aca="false">$E8*MAX(0,MIN(H$5+1,$G8)-MAX(H$5,$F8))</f>
        <v>0</v>
      </c>
      <c r="I8" s="118" t="n">
        <f aca="false">$E8*MAX(0,MIN(I$5+1,$G8)-MAX(I$5,$F8))</f>
        <v>0</v>
      </c>
      <c r="J8" s="118" t="n">
        <f aca="false">$E8*MAX(0,MIN(J$5+1,$G8)-MAX(J$5,$F8))</f>
        <v>2673.75</v>
      </c>
      <c r="K8" s="118" t="n">
        <f aca="false">$E8*MAX(0,MIN(K$5+1,$G8)-MAX(K$5,$F8))</f>
        <v>3565</v>
      </c>
      <c r="L8" s="118" t="n">
        <f aca="false">$E8*MAX(0,MIN(L$5+1,$G8)-MAX(L$5,$F8))</f>
        <v>3565</v>
      </c>
      <c r="M8" s="118" t="n">
        <f aca="false">$E8*MAX(0,MIN(M$5+1,$G8)-MAX(M$5,$F8))</f>
        <v>3565</v>
      </c>
      <c r="N8" s="118" t="n">
        <f aca="false">$E8*MAX(0,MIN(N$5+1,$G8)-MAX(N$5,$F8))</f>
        <v>3565</v>
      </c>
    </row>
    <row r="9" customFormat="false" ht="15" hidden="false" customHeight="false" outlineLevel="0" collapsed="false">
      <c r="B9" s="9" t="s">
        <v>537</v>
      </c>
      <c r="C9" s="9" t="s">
        <v>531</v>
      </c>
      <c r="D9" s="9" t="s">
        <v>538</v>
      </c>
      <c r="E9" s="116" t="n">
        <v>3550</v>
      </c>
      <c r="F9" s="117" t="n">
        <v>2025.25</v>
      </c>
      <c r="G9" s="117" t="n">
        <v>2099</v>
      </c>
      <c r="H9" s="118" t="n">
        <f aca="false">$E9*MAX(0,MIN(H$5+1,$G9)-MAX(H$5,$F9))</f>
        <v>0</v>
      </c>
      <c r="I9" s="118" t="n">
        <f aca="false">$E9*MAX(0,MIN(I$5+1,$G9)-MAX(I$5,$F9))</f>
        <v>2662.5</v>
      </c>
      <c r="J9" s="118" t="n">
        <f aca="false">$E9*MAX(0,MIN(J$5+1,$G9)-MAX(J$5,$F9))</f>
        <v>3550</v>
      </c>
      <c r="K9" s="118" t="n">
        <f aca="false">$E9*MAX(0,MIN(K$5+1,$G9)-MAX(K$5,$F9))</f>
        <v>3550</v>
      </c>
      <c r="L9" s="118" t="n">
        <f aca="false">$E9*MAX(0,MIN(L$5+1,$G9)-MAX(L$5,$F9))</f>
        <v>3550</v>
      </c>
      <c r="M9" s="118" t="n">
        <f aca="false">$E9*MAX(0,MIN(M$5+1,$G9)-MAX(M$5,$F9))</f>
        <v>3550</v>
      </c>
      <c r="N9" s="118" t="n">
        <f aca="false">$E9*MAX(0,MIN(N$5+1,$G9)-MAX(N$5,$F9))</f>
        <v>3550</v>
      </c>
    </row>
    <row r="10" customFormat="false" ht="15" hidden="false" customHeight="false" outlineLevel="0" collapsed="false">
      <c r="B10" s="9" t="s">
        <v>539</v>
      </c>
      <c r="C10" s="9" t="s">
        <v>531</v>
      </c>
      <c r="D10" s="9" t="s">
        <v>540</v>
      </c>
      <c r="E10" s="119" t="n">
        <f aca="false">3099*$E$3</f>
        <v>3065.80630764653</v>
      </c>
      <c r="F10" s="117" t="n">
        <v>2000</v>
      </c>
      <c r="G10" s="117" t="n">
        <v>2099</v>
      </c>
      <c r="H10" s="118" t="n">
        <f aca="false">$E10*MAX(0,MIN(H$5+1,$G10)-MAX(H$5,$F10))</f>
        <v>3065.80630764653</v>
      </c>
      <c r="I10" s="118" t="n">
        <f aca="false">$E10*MAX(0,MIN(I$5+1,$G10)-MAX(I$5,$F10))</f>
        <v>3065.80630764653</v>
      </c>
      <c r="J10" s="118" t="n">
        <f aca="false">$E10*MAX(0,MIN(J$5+1,$G10)-MAX(J$5,$F10))</f>
        <v>3065.80630764653</v>
      </c>
      <c r="K10" s="118" t="n">
        <f aca="false">$E10*MAX(0,MIN(K$5+1,$G10)-MAX(K$5,$F10))</f>
        <v>3065.80630764653</v>
      </c>
      <c r="L10" s="118" t="n">
        <f aca="false">$E10*MAX(0,MIN(L$5+1,$G10)-MAX(L$5,$F10))</f>
        <v>3065.80630764653</v>
      </c>
      <c r="M10" s="118" t="n">
        <f aca="false">$E10*MAX(0,MIN(M$5+1,$G10)-MAX(M$5,$F10))</f>
        <v>3065.80630764653</v>
      </c>
      <c r="N10" s="118" t="n">
        <f aca="false">$E10*MAX(0,MIN(N$5+1,$G10)-MAX(N$5,$F10))</f>
        <v>3065.80630764653</v>
      </c>
    </row>
    <row r="11" customFormat="false" ht="15" hidden="false" customHeight="false" outlineLevel="0" collapsed="false">
      <c r="B11" s="9" t="s">
        <v>541</v>
      </c>
      <c r="C11" s="9" t="s">
        <v>531</v>
      </c>
      <c r="D11" s="9" t="s">
        <v>540</v>
      </c>
      <c r="E11" s="119" t="n">
        <f aca="false">3099*$E$3</f>
        <v>3065.80630764653</v>
      </c>
      <c r="F11" s="117" t="n">
        <v>2000</v>
      </c>
      <c r="G11" s="117" t="n">
        <v>2099</v>
      </c>
      <c r="H11" s="118" t="n">
        <f aca="false">$E11*MAX(0,MIN(H$5+1,$G11)-MAX(H$5,$F11))</f>
        <v>3065.80630764653</v>
      </c>
      <c r="I11" s="118" t="n">
        <f aca="false">$E11*MAX(0,MIN(I$5+1,$G11)-MAX(I$5,$F11))</f>
        <v>3065.80630764653</v>
      </c>
      <c r="J11" s="118" t="n">
        <f aca="false">$E11*MAX(0,MIN(J$5+1,$G11)-MAX(J$5,$F11))</f>
        <v>3065.80630764653</v>
      </c>
      <c r="K11" s="118" t="n">
        <f aca="false">$E11*MAX(0,MIN(K$5+1,$G11)-MAX(K$5,$F11))</f>
        <v>3065.80630764653</v>
      </c>
      <c r="L11" s="118" t="n">
        <f aca="false">$E11*MAX(0,MIN(L$5+1,$G11)-MAX(L$5,$F11))</f>
        <v>3065.80630764653</v>
      </c>
      <c r="M11" s="118" t="n">
        <f aca="false">$E11*MAX(0,MIN(M$5+1,$G11)-MAX(M$5,$F11))</f>
        <v>3065.80630764653</v>
      </c>
      <c r="N11" s="118" t="n">
        <f aca="false">$E11*MAX(0,MIN(N$5+1,$G11)-MAX(N$5,$F11))</f>
        <v>3065.80630764653</v>
      </c>
    </row>
    <row r="12" customFormat="false" ht="15" hidden="false" customHeight="false" outlineLevel="0" collapsed="false">
      <c r="B12" s="9" t="s">
        <v>542</v>
      </c>
      <c r="C12" s="9" t="s">
        <v>531</v>
      </c>
      <c r="D12" s="9" t="s">
        <v>543</v>
      </c>
      <c r="E12" s="116" t="n">
        <v>5000</v>
      </c>
      <c r="F12" s="117" t="n">
        <v>2030.5</v>
      </c>
      <c r="G12" s="117" t="n">
        <v>2099</v>
      </c>
      <c r="H12" s="118" t="n">
        <f aca="false">$E12*MAX(0,MIN(H$5+1,$G12)-MAX(H$5,$F12))</f>
        <v>0</v>
      </c>
      <c r="I12" s="118" t="n">
        <f aca="false">$E12*MAX(0,MIN(I$5+1,$G12)-MAX(I$5,$F12))</f>
        <v>0</v>
      </c>
      <c r="J12" s="118" t="n">
        <f aca="false">$E12*MAX(0,MIN(J$5+1,$G12)-MAX(J$5,$F12))</f>
        <v>0</v>
      </c>
      <c r="K12" s="118" t="n">
        <f aca="false">$E12*MAX(0,MIN(K$5+1,$G12)-MAX(K$5,$F12))</f>
        <v>0</v>
      </c>
      <c r="L12" s="118" t="n">
        <f aca="false">$E12*MAX(0,MIN(L$5+1,$G12)-MAX(L$5,$F12))</f>
        <v>0</v>
      </c>
      <c r="M12" s="118" t="n">
        <f aca="false">$E12*MAX(0,MIN(M$5+1,$G12)-MAX(M$5,$F12))</f>
        <v>0</v>
      </c>
      <c r="N12" s="118" t="n">
        <f aca="false">$E12*MAX(0,MIN(N$5+1,$G12)-MAX(N$5,$F12))</f>
        <v>2500</v>
      </c>
    </row>
    <row r="13" customFormat="false" ht="15" hidden="false" customHeight="false" outlineLevel="0" collapsed="false">
      <c r="B13" s="9" t="s">
        <v>544</v>
      </c>
      <c r="C13" s="9" t="s">
        <v>531</v>
      </c>
      <c r="D13" s="9" t="s">
        <v>545</v>
      </c>
      <c r="E13" s="119" t="n">
        <f aca="false">3998*$E$3</f>
        <v>3955.17703064564</v>
      </c>
      <c r="F13" s="117" t="n">
        <v>2000</v>
      </c>
      <c r="G13" s="117" t="n">
        <v>2099</v>
      </c>
      <c r="H13" s="118" t="n">
        <f aca="false">$E13*MAX(0,MIN(H$5+1,$G13)-MAX(H$5,$F13))</f>
        <v>3955.17703064564</v>
      </c>
      <c r="I13" s="118" t="n">
        <f aca="false">$E13*MAX(0,MIN(I$5+1,$G13)-MAX(I$5,$F13))</f>
        <v>3955.17703064564</v>
      </c>
      <c r="J13" s="118" t="n">
        <f aca="false">$E13*MAX(0,MIN(J$5+1,$G13)-MAX(J$5,$F13))</f>
        <v>3955.17703064564</v>
      </c>
      <c r="K13" s="118" t="n">
        <f aca="false">$E13*MAX(0,MIN(K$5+1,$G13)-MAX(K$5,$F13))</f>
        <v>3955.17703064564</v>
      </c>
      <c r="L13" s="118" t="n">
        <f aca="false">$E13*MAX(0,MIN(L$5+1,$G13)-MAX(L$5,$F13))</f>
        <v>3955.17703064564</v>
      </c>
      <c r="M13" s="118" t="n">
        <f aca="false">$E13*MAX(0,MIN(M$5+1,$G13)-MAX(M$5,$F13))</f>
        <v>3955.17703064564</v>
      </c>
      <c r="N13" s="118" t="n">
        <f aca="false">$E13*MAX(0,MIN(N$5+1,$G13)-MAX(N$5,$F13))</f>
        <v>3955.17703064564</v>
      </c>
    </row>
    <row r="14" customFormat="false" ht="15" hidden="false" customHeight="false" outlineLevel="0" collapsed="false">
      <c r="B14" s="9" t="s">
        <v>546</v>
      </c>
      <c r="C14" s="9" t="s">
        <v>531</v>
      </c>
      <c r="D14" s="9" t="s">
        <v>545</v>
      </c>
      <c r="E14" s="119" t="n">
        <f aca="false">4004*$E$3</f>
        <v>3961.11276405832</v>
      </c>
      <c r="F14" s="117" t="n">
        <v>2000</v>
      </c>
      <c r="G14" s="117" t="n">
        <v>2099</v>
      </c>
      <c r="H14" s="118" t="n">
        <f aca="false">$E14*MAX(0,MIN(H$5+1,$G14)-MAX(H$5,$F14))</f>
        <v>3961.11276405832</v>
      </c>
      <c r="I14" s="118" t="n">
        <f aca="false">$E14*MAX(0,MIN(I$5+1,$G14)-MAX(I$5,$F14))</f>
        <v>3961.11276405832</v>
      </c>
      <c r="J14" s="118" t="n">
        <f aca="false">$E14*MAX(0,MIN(J$5+1,$G14)-MAX(J$5,$F14))</f>
        <v>3961.11276405832</v>
      </c>
      <c r="K14" s="118" t="n">
        <f aca="false">$E14*MAX(0,MIN(K$5+1,$G14)-MAX(K$5,$F14))</f>
        <v>3961.11276405832</v>
      </c>
      <c r="L14" s="118" t="n">
        <f aca="false">$E14*MAX(0,MIN(L$5+1,$G14)-MAX(L$5,$F14))</f>
        <v>3961.11276405832</v>
      </c>
      <c r="M14" s="118" t="n">
        <f aca="false">$E14*MAX(0,MIN(M$5+1,$G14)-MAX(M$5,$F14))</f>
        <v>3961.11276405832</v>
      </c>
      <c r="N14" s="118" t="n">
        <f aca="false">$E14*MAX(0,MIN(N$5+1,$G14)-MAX(N$5,$F14))</f>
        <v>3961.11276405832</v>
      </c>
    </row>
    <row r="15" customFormat="false" ht="15" hidden="false" customHeight="false" outlineLevel="0" collapsed="false">
      <c r="B15" s="9" t="s">
        <v>547</v>
      </c>
      <c r="C15" s="9" t="s">
        <v>531</v>
      </c>
      <c r="D15" s="9" t="s">
        <v>545</v>
      </c>
      <c r="E15" s="119" t="n">
        <f aca="false">3804*$E$3</f>
        <v>3763.25498363582</v>
      </c>
      <c r="F15" s="117" t="n">
        <v>2000</v>
      </c>
      <c r="G15" s="117" t="n">
        <v>2099</v>
      </c>
      <c r="H15" s="118" t="n">
        <f aca="false">$E15*MAX(0,MIN(H$5+1,$G15)-MAX(H$5,$F15))</f>
        <v>3763.25498363582</v>
      </c>
      <c r="I15" s="118" t="n">
        <f aca="false">$E15*MAX(0,MIN(I$5+1,$G15)-MAX(I$5,$F15))</f>
        <v>3763.25498363582</v>
      </c>
      <c r="J15" s="118" t="n">
        <f aca="false">$E15*MAX(0,MIN(J$5+1,$G15)-MAX(J$5,$F15))</f>
        <v>3763.25498363582</v>
      </c>
      <c r="K15" s="118" t="n">
        <f aca="false">$E15*MAX(0,MIN(K$5+1,$G15)-MAX(K$5,$F15))</f>
        <v>3763.25498363582</v>
      </c>
      <c r="L15" s="118" t="n">
        <f aca="false">$E15*MAX(0,MIN(L$5+1,$G15)-MAX(L$5,$F15))</f>
        <v>3763.25498363582</v>
      </c>
      <c r="M15" s="118" t="n">
        <f aca="false">$E15*MAX(0,MIN(M$5+1,$G15)-MAX(M$5,$F15))</f>
        <v>3763.25498363582</v>
      </c>
      <c r="N15" s="118" t="n">
        <f aca="false">$E15*MAX(0,MIN(N$5+1,$G15)-MAX(N$5,$F15))</f>
        <v>3763.25498363582</v>
      </c>
    </row>
    <row r="16" customFormat="false" ht="15" hidden="false" customHeight="false" outlineLevel="0" collapsed="false">
      <c r="B16" s="9" t="s">
        <v>548</v>
      </c>
      <c r="C16" s="9" t="s">
        <v>531</v>
      </c>
      <c r="D16" s="9" t="s">
        <v>545</v>
      </c>
      <c r="E16" s="119" t="n">
        <f aca="false">4266*$E$3</f>
        <v>4220.30645641178</v>
      </c>
      <c r="F16" s="117" t="n">
        <v>2000</v>
      </c>
      <c r="G16" s="117" t="n">
        <v>2099</v>
      </c>
      <c r="H16" s="118" t="n">
        <f aca="false">$E16*MAX(0,MIN(H$5+1,$G16)-MAX(H$5,$F16))</f>
        <v>4220.30645641178</v>
      </c>
      <c r="I16" s="118" t="n">
        <f aca="false">$E16*MAX(0,MIN(I$5+1,$G16)-MAX(I$5,$F16))</f>
        <v>4220.30645641178</v>
      </c>
      <c r="J16" s="118" t="n">
        <f aca="false">$E16*MAX(0,MIN(J$5+1,$G16)-MAX(J$5,$F16))</f>
        <v>4220.30645641178</v>
      </c>
      <c r="K16" s="118" t="n">
        <f aca="false">$E16*MAX(0,MIN(K$5+1,$G16)-MAX(K$5,$F16))</f>
        <v>4220.30645641178</v>
      </c>
      <c r="L16" s="118" t="n">
        <f aca="false">$E16*MAX(0,MIN(L$5+1,$G16)-MAX(L$5,$F16))</f>
        <v>4220.30645641178</v>
      </c>
      <c r="M16" s="118" t="n">
        <f aca="false">$E16*MAX(0,MIN(M$5+1,$G16)-MAX(M$5,$F16))</f>
        <v>4220.30645641178</v>
      </c>
      <c r="N16" s="118" t="n">
        <f aca="false">$E16*MAX(0,MIN(N$5+1,$G16)-MAX(N$5,$F16))</f>
        <v>4220.30645641178</v>
      </c>
    </row>
    <row r="17" customFormat="false" ht="15" hidden="false" customHeight="false" outlineLevel="0" collapsed="false">
      <c r="B17" s="9" t="s">
        <v>549</v>
      </c>
      <c r="C17" s="9" t="s">
        <v>531</v>
      </c>
      <c r="D17" s="9" t="s">
        <v>550</v>
      </c>
      <c r="E17" s="119" t="n">
        <f aca="false">3963*$E$3</f>
        <v>3920.55191907171</v>
      </c>
      <c r="F17" s="117" t="n">
        <v>2000</v>
      </c>
      <c r="G17" s="117" t="n">
        <v>2099</v>
      </c>
      <c r="H17" s="118" t="n">
        <f aca="false">$E17*MAX(0,MIN(H$5+1,$G17)-MAX(H$5,$F17))</f>
        <v>3920.55191907171</v>
      </c>
      <c r="I17" s="118" t="n">
        <f aca="false">$E17*MAX(0,MIN(I$5+1,$G17)-MAX(I$5,$F17))</f>
        <v>3920.55191907171</v>
      </c>
      <c r="J17" s="118" t="n">
        <f aca="false">$E17*MAX(0,MIN(J$5+1,$G17)-MAX(J$5,$F17))</f>
        <v>3920.55191907171</v>
      </c>
      <c r="K17" s="118" t="n">
        <f aca="false">$E17*MAX(0,MIN(K$5+1,$G17)-MAX(K$5,$F17))</f>
        <v>3920.55191907171</v>
      </c>
      <c r="L17" s="118" t="n">
        <f aca="false">$E17*MAX(0,MIN(L$5+1,$G17)-MAX(L$5,$F17))</f>
        <v>3920.55191907171</v>
      </c>
      <c r="M17" s="118" t="n">
        <f aca="false">$E17*MAX(0,MIN(M$5+1,$G17)-MAX(M$5,$F17))</f>
        <v>3920.55191907171</v>
      </c>
      <c r="N17" s="118" t="n">
        <f aca="false">$E17*MAX(0,MIN(N$5+1,$G17)-MAX(N$5,$F17))</f>
        <v>3920.55191907171</v>
      </c>
    </row>
    <row r="18" customFormat="false" ht="15" hidden="false" customHeight="false" outlineLevel="0" collapsed="false">
      <c r="B18" s="9" t="s">
        <v>551</v>
      </c>
      <c r="C18" s="9" t="s">
        <v>531</v>
      </c>
      <c r="D18" s="9" t="s">
        <v>550</v>
      </c>
      <c r="E18" s="119" t="n">
        <f aca="false">3963*$E$3</f>
        <v>3920.55191907171</v>
      </c>
      <c r="F18" s="117" t="n">
        <v>2000</v>
      </c>
      <c r="G18" s="117" t="n">
        <v>2099</v>
      </c>
      <c r="H18" s="118" t="n">
        <f aca="false">$E18*MAX(0,MIN(H$5+1,$G18)-MAX(H$5,$F18))</f>
        <v>3920.55191907171</v>
      </c>
      <c r="I18" s="118" t="n">
        <f aca="false">$E18*MAX(0,MIN(I$5+1,$G18)-MAX(I$5,$F18))</f>
        <v>3920.55191907171</v>
      </c>
      <c r="J18" s="118" t="n">
        <f aca="false">$E18*MAX(0,MIN(J$5+1,$G18)-MAX(J$5,$F18))</f>
        <v>3920.55191907171</v>
      </c>
      <c r="K18" s="118" t="n">
        <f aca="false">$E18*MAX(0,MIN(K$5+1,$G18)-MAX(K$5,$F18))</f>
        <v>3920.55191907171</v>
      </c>
      <c r="L18" s="118" t="n">
        <f aca="false">$E18*MAX(0,MIN(L$5+1,$G18)-MAX(L$5,$F18))</f>
        <v>3920.55191907171</v>
      </c>
      <c r="M18" s="118" t="n">
        <f aca="false">$E18*MAX(0,MIN(M$5+1,$G18)-MAX(M$5,$F18))</f>
        <v>3920.55191907171</v>
      </c>
      <c r="N18" s="118" t="n">
        <f aca="false">$E18*MAX(0,MIN(N$5+1,$G18)-MAX(N$5,$F18))</f>
        <v>3920.55191907171</v>
      </c>
    </row>
    <row r="19" customFormat="false" ht="15" hidden="false" customHeight="false" outlineLevel="0" collapsed="false">
      <c r="B19" s="9" t="s">
        <v>552</v>
      </c>
      <c r="C19" s="9" t="s">
        <v>531</v>
      </c>
      <c r="D19" s="9" t="s">
        <v>553</v>
      </c>
      <c r="E19" s="119" t="n">
        <f aca="false">4100*$E$3</f>
        <v>4056.08449866111</v>
      </c>
      <c r="F19" s="117" t="n">
        <v>2000</v>
      </c>
      <c r="G19" s="117" t="n">
        <v>2099</v>
      </c>
      <c r="H19" s="118" t="n">
        <f aca="false">$E19*MAX(0,MIN(H$5+1,$G19)-MAX(H$5,$F19))</f>
        <v>4056.08449866111</v>
      </c>
      <c r="I19" s="118" t="n">
        <f aca="false">$E19*MAX(0,MIN(I$5+1,$G19)-MAX(I$5,$F19))</f>
        <v>4056.08449866111</v>
      </c>
      <c r="J19" s="118" t="n">
        <f aca="false">$E19*MAX(0,MIN(J$5+1,$G19)-MAX(J$5,$F19))</f>
        <v>4056.08449866111</v>
      </c>
      <c r="K19" s="118" t="n">
        <f aca="false">$E19*MAX(0,MIN(K$5+1,$G19)-MAX(K$5,$F19))</f>
        <v>4056.08449866111</v>
      </c>
      <c r="L19" s="118" t="n">
        <f aca="false">$E19*MAX(0,MIN(L$5+1,$G19)-MAX(L$5,$F19))</f>
        <v>4056.08449866111</v>
      </c>
      <c r="M19" s="118" t="n">
        <f aca="false">$E19*MAX(0,MIN(M$5+1,$G19)-MAX(M$5,$F19))</f>
        <v>4056.08449866111</v>
      </c>
      <c r="N19" s="118" t="n">
        <f aca="false">$E19*MAX(0,MIN(N$5+1,$G19)-MAX(N$5,$F19))</f>
        <v>4056.08449866111</v>
      </c>
    </row>
    <row r="20" customFormat="false" ht="15" hidden="false" customHeight="false" outlineLevel="0" collapsed="false">
      <c r="B20" s="9" t="s">
        <v>554</v>
      </c>
      <c r="C20" s="9" t="s">
        <v>531</v>
      </c>
      <c r="D20" s="9" t="s">
        <v>555</v>
      </c>
      <c r="E20" s="119" t="n">
        <f aca="false">2394*$E$3</f>
        <v>2368.35763165725</v>
      </c>
      <c r="F20" s="117" t="n">
        <v>2000</v>
      </c>
      <c r="G20" s="117" t="n">
        <v>2099</v>
      </c>
      <c r="H20" s="118" t="n">
        <f aca="false">$E20*MAX(0,MIN(H$5+1,$G20)-MAX(H$5,$F20))</f>
        <v>2368.35763165725</v>
      </c>
      <c r="I20" s="118" t="n">
        <f aca="false">$E20*MAX(0,MIN(I$5+1,$G20)-MAX(I$5,$F20))</f>
        <v>2368.35763165725</v>
      </c>
      <c r="J20" s="118" t="n">
        <f aca="false">$E20*MAX(0,MIN(J$5+1,$G20)-MAX(J$5,$F20))</f>
        <v>2368.35763165725</v>
      </c>
      <c r="K20" s="118" t="n">
        <f aca="false">$E20*MAX(0,MIN(K$5+1,$G20)-MAX(K$5,$F20))</f>
        <v>2368.35763165725</v>
      </c>
      <c r="L20" s="118" t="n">
        <f aca="false">$E20*MAX(0,MIN(L$5+1,$G20)-MAX(L$5,$F20))</f>
        <v>2368.35763165725</v>
      </c>
      <c r="M20" s="118" t="n">
        <f aca="false">$E20*MAX(0,MIN(M$5+1,$G20)-MAX(M$5,$F20))</f>
        <v>2368.35763165725</v>
      </c>
      <c r="N20" s="118" t="n">
        <f aca="false">$E20*MAX(0,MIN(N$5+1,$G20)-MAX(N$5,$F20))</f>
        <v>2368.35763165725</v>
      </c>
    </row>
    <row r="21" customFormat="false" ht="15" hidden="false" customHeight="false" outlineLevel="0" collapsed="false">
      <c r="B21" s="9" t="s">
        <v>556</v>
      </c>
      <c r="C21" s="9" t="s">
        <v>531</v>
      </c>
      <c r="D21" s="9" t="s">
        <v>555</v>
      </c>
      <c r="E21" s="119" t="n">
        <f aca="false">2402*$E$3</f>
        <v>2376.27194287414</v>
      </c>
      <c r="F21" s="117" t="n">
        <v>2000</v>
      </c>
      <c r="G21" s="117" t="n">
        <v>2099</v>
      </c>
      <c r="H21" s="118" t="n">
        <f aca="false">$E21*MAX(0,MIN(H$5+1,$G21)-MAX(H$5,$F21))</f>
        <v>2376.27194287414</v>
      </c>
      <c r="I21" s="118" t="n">
        <f aca="false">$E21*MAX(0,MIN(I$5+1,$G21)-MAX(I$5,$F21))</f>
        <v>2376.27194287414</v>
      </c>
      <c r="J21" s="118" t="n">
        <f aca="false">$E21*MAX(0,MIN(J$5+1,$G21)-MAX(J$5,$F21))</f>
        <v>2376.27194287414</v>
      </c>
      <c r="K21" s="118" t="n">
        <f aca="false">$E21*MAX(0,MIN(K$5+1,$G21)-MAX(K$5,$F21))</f>
        <v>2376.27194287414</v>
      </c>
      <c r="L21" s="118" t="n">
        <f aca="false">$E21*MAX(0,MIN(L$5+1,$G21)-MAX(L$5,$F21))</f>
        <v>2376.27194287414</v>
      </c>
      <c r="M21" s="118" t="n">
        <f aca="false">$E21*MAX(0,MIN(M$5+1,$G21)-MAX(M$5,$F21))</f>
        <v>2376.27194287414</v>
      </c>
      <c r="N21" s="118" t="n">
        <f aca="false">$E21*MAX(0,MIN(N$5+1,$G21)-MAX(N$5,$F21))</f>
        <v>2376.27194287414</v>
      </c>
    </row>
    <row r="22" customFormat="false" ht="15" hidden="false" customHeight="false" outlineLevel="0" collapsed="false">
      <c r="B22" s="9" t="s">
        <v>557</v>
      </c>
      <c r="C22" s="9" t="s">
        <v>531</v>
      </c>
      <c r="D22" s="9" t="s">
        <v>555</v>
      </c>
      <c r="E22" s="119" t="n">
        <f aca="false">2394*$E$3</f>
        <v>2368.35763165725</v>
      </c>
      <c r="F22" s="117" t="n">
        <v>2000</v>
      </c>
      <c r="G22" s="117" t="n">
        <v>2099</v>
      </c>
      <c r="H22" s="118" t="n">
        <f aca="false">$E22*MAX(0,MIN(H$5+1,$G22)-MAX(H$5,$F22))</f>
        <v>2368.35763165725</v>
      </c>
      <c r="I22" s="118" t="n">
        <f aca="false">$E22*MAX(0,MIN(I$5+1,$G22)-MAX(I$5,$F22))</f>
        <v>2368.35763165725</v>
      </c>
      <c r="J22" s="118" t="n">
        <f aca="false">$E22*MAX(0,MIN(J$5+1,$G22)-MAX(J$5,$F22))</f>
        <v>2368.35763165725</v>
      </c>
      <c r="K22" s="118" t="n">
        <f aca="false">$E22*MAX(0,MIN(K$5+1,$G22)-MAX(K$5,$F22))</f>
        <v>2368.35763165725</v>
      </c>
      <c r="L22" s="118" t="n">
        <f aca="false">$E22*MAX(0,MIN(L$5+1,$G22)-MAX(L$5,$F22))</f>
        <v>2368.35763165725</v>
      </c>
      <c r="M22" s="118" t="n">
        <f aca="false">$E22*MAX(0,MIN(M$5+1,$G22)-MAX(M$5,$F22))</f>
        <v>2368.35763165725</v>
      </c>
      <c r="N22" s="118" t="n">
        <f aca="false">$E22*MAX(0,MIN(N$5+1,$G22)-MAX(N$5,$F22))</f>
        <v>2368.35763165725</v>
      </c>
    </row>
    <row r="23" customFormat="false" ht="15" hidden="false" customHeight="false" outlineLevel="0" collapsed="false">
      <c r="B23" s="9" t="s">
        <v>558</v>
      </c>
      <c r="C23" s="9" t="s">
        <v>531</v>
      </c>
      <c r="D23" s="9" t="s">
        <v>555</v>
      </c>
      <c r="E23" s="119" t="n">
        <f aca="false">2376*$E$3</f>
        <v>2350.55043141922</v>
      </c>
      <c r="F23" s="117" t="n">
        <v>2000</v>
      </c>
      <c r="G23" s="117" t="n">
        <v>2099</v>
      </c>
      <c r="H23" s="118" t="n">
        <f aca="false">$E23*MAX(0,MIN(H$5+1,$G23)-MAX(H$5,$F23))</f>
        <v>2350.55043141922</v>
      </c>
      <c r="I23" s="118" t="n">
        <f aca="false">$E23*MAX(0,MIN(I$5+1,$G23)-MAX(I$5,$F23))</f>
        <v>2350.55043141922</v>
      </c>
      <c r="J23" s="118" t="n">
        <f aca="false">$E23*MAX(0,MIN(J$5+1,$G23)-MAX(J$5,$F23))</f>
        <v>2350.55043141922</v>
      </c>
      <c r="K23" s="118" t="n">
        <f aca="false">$E23*MAX(0,MIN(K$5+1,$G23)-MAX(K$5,$F23))</f>
        <v>2350.55043141922</v>
      </c>
      <c r="L23" s="118" t="n">
        <f aca="false">$E23*MAX(0,MIN(L$5+1,$G23)-MAX(L$5,$F23))</f>
        <v>2350.55043141922</v>
      </c>
      <c r="M23" s="118" t="n">
        <f aca="false">$E23*MAX(0,MIN(M$5+1,$G23)-MAX(M$5,$F23))</f>
        <v>2350.55043141922</v>
      </c>
      <c r="N23" s="118" t="n">
        <f aca="false">$E23*MAX(0,MIN(N$5+1,$G23)-MAX(N$5,$F23))</f>
        <v>2350.55043141922</v>
      </c>
    </row>
    <row r="24" customFormat="false" ht="15" hidden="false" customHeight="false" outlineLevel="0" collapsed="false">
      <c r="B24" s="9" t="s">
        <v>559</v>
      </c>
      <c r="C24" s="9" t="s">
        <v>531</v>
      </c>
      <c r="D24" s="9" t="s">
        <v>560</v>
      </c>
      <c r="E24" s="119" t="n">
        <f aca="false">2186*$E$3</f>
        <v>2162.58554001785</v>
      </c>
      <c r="F24" s="117" t="n">
        <v>2000</v>
      </c>
      <c r="G24" s="117" t="n">
        <v>2099</v>
      </c>
      <c r="H24" s="118" t="n">
        <f aca="false">$E24*MAX(0,MIN(H$5+1,$G24)-MAX(H$5,$F24))</f>
        <v>2162.58554001785</v>
      </c>
      <c r="I24" s="118" t="n">
        <f aca="false">$E24*MAX(0,MIN(I$5+1,$G24)-MAX(I$5,$F24))</f>
        <v>2162.58554001785</v>
      </c>
      <c r="J24" s="118" t="n">
        <f aca="false">$E24*MAX(0,MIN(J$5+1,$G24)-MAX(J$5,$F24))</f>
        <v>2162.58554001785</v>
      </c>
      <c r="K24" s="118" t="n">
        <f aca="false">$E24*MAX(0,MIN(K$5+1,$G24)-MAX(K$5,$F24))</f>
        <v>2162.58554001785</v>
      </c>
      <c r="L24" s="118" t="n">
        <f aca="false">$E24*MAX(0,MIN(L$5+1,$G24)-MAX(L$5,$F24))</f>
        <v>2162.58554001785</v>
      </c>
      <c r="M24" s="118" t="n">
        <f aca="false">$E24*MAX(0,MIN(M$5+1,$G24)-MAX(M$5,$F24))</f>
        <v>2162.58554001785</v>
      </c>
      <c r="N24" s="118" t="n">
        <f aca="false">$E24*MAX(0,MIN(N$5+1,$G24)-MAX(N$5,$F24))</f>
        <v>2162.58554001785</v>
      </c>
    </row>
    <row r="25" customFormat="false" ht="15" hidden="false" customHeight="false" outlineLevel="0" collapsed="false">
      <c r="B25" s="9" t="s">
        <v>561</v>
      </c>
      <c r="C25" s="9" t="s">
        <v>531</v>
      </c>
      <c r="D25" s="9" t="s">
        <v>562</v>
      </c>
      <c r="E25" s="119" t="n">
        <f aca="false">2340*$E$3</f>
        <v>2314.93603094317</v>
      </c>
      <c r="F25" s="117" t="n">
        <v>2000</v>
      </c>
      <c r="G25" s="117" t="n">
        <v>2099</v>
      </c>
      <c r="H25" s="118" t="n">
        <f aca="false">$E25*MAX(0,MIN(H$5+1,$G25)-MAX(H$5,$F25))</f>
        <v>2314.93603094317</v>
      </c>
      <c r="I25" s="118" t="n">
        <f aca="false">$E25*MAX(0,MIN(I$5+1,$G25)-MAX(I$5,$F25))</f>
        <v>2314.93603094317</v>
      </c>
      <c r="J25" s="118" t="n">
        <f aca="false">$E25*MAX(0,MIN(J$5+1,$G25)-MAX(J$5,$F25))</f>
        <v>2314.93603094317</v>
      </c>
      <c r="K25" s="118" t="n">
        <f aca="false">$E25*MAX(0,MIN(K$5+1,$G25)-MAX(K$5,$F25))</f>
        <v>2314.93603094317</v>
      </c>
      <c r="L25" s="118" t="n">
        <f aca="false">$E25*MAX(0,MIN(L$5+1,$G25)-MAX(L$5,$F25))</f>
        <v>2314.93603094317</v>
      </c>
      <c r="M25" s="118" t="n">
        <f aca="false">$E25*MAX(0,MIN(M$5+1,$G25)-MAX(M$5,$F25))</f>
        <v>2314.93603094317</v>
      </c>
      <c r="N25" s="118" t="n">
        <f aca="false">$E25*MAX(0,MIN(N$5+1,$G25)-MAX(N$5,$F25))</f>
        <v>2314.93603094317</v>
      </c>
    </row>
    <row r="26" customFormat="false" ht="15" hidden="false" customHeight="false" outlineLevel="0" collapsed="false">
      <c r="B26" s="9" t="s">
        <v>563</v>
      </c>
      <c r="C26" s="9" t="s">
        <v>531</v>
      </c>
      <c r="D26" s="9" t="s">
        <v>562</v>
      </c>
      <c r="E26" s="119" t="n">
        <f aca="false">2348*$E$3</f>
        <v>2322.85034216007</v>
      </c>
      <c r="F26" s="117" t="n">
        <v>2000</v>
      </c>
      <c r="G26" s="117" t="n">
        <v>2099</v>
      </c>
      <c r="H26" s="118" t="n">
        <f aca="false">$E26*MAX(0,MIN(H$5+1,$G26)-MAX(H$5,$F26))</f>
        <v>2322.85034216007</v>
      </c>
      <c r="I26" s="118" t="n">
        <f aca="false">$E26*MAX(0,MIN(I$5+1,$G26)-MAX(I$5,$F26))</f>
        <v>2322.85034216007</v>
      </c>
      <c r="J26" s="118" t="n">
        <f aca="false">$E26*MAX(0,MIN(J$5+1,$G26)-MAX(J$5,$F26))</f>
        <v>2322.85034216007</v>
      </c>
      <c r="K26" s="118" t="n">
        <f aca="false">$E26*MAX(0,MIN(K$5+1,$G26)-MAX(K$5,$F26))</f>
        <v>2322.85034216007</v>
      </c>
      <c r="L26" s="118" t="n">
        <f aca="false">$E26*MAX(0,MIN(L$5+1,$G26)-MAX(L$5,$F26))</f>
        <v>2322.85034216007</v>
      </c>
      <c r="M26" s="118" t="n">
        <f aca="false">$E26*MAX(0,MIN(M$5+1,$G26)-MAX(M$5,$F26))</f>
        <v>2322.85034216007</v>
      </c>
      <c r="N26" s="118" t="n">
        <f aca="false">$E26*MAX(0,MIN(N$5+1,$G26)-MAX(N$5,$F26))</f>
        <v>2322.85034216007</v>
      </c>
    </row>
    <row r="27" customFormat="false" ht="15" hidden="false" customHeight="false" outlineLevel="0" collapsed="false">
      <c r="B27" s="9" t="s">
        <v>564</v>
      </c>
      <c r="C27" s="9" t="s">
        <v>531</v>
      </c>
      <c r="D27" s="9" t="s">
        <v>565</v>
      </c>
      <c r="E27" s="116" t="n">
        <v>1936</v>
      </c>
      <c r="F27" s="117" t="n">
        <v>2000</v>
      </c>
      <c r="G27" s="117" t="n">
        <v>2027.83</v>
      </c>
      <c r="H27" s="118" t="n">
        <f aca="false">$E27*MAX(0,MIN(H$5+1,$G27)-MAX(H$5,$F27))</f>
        <v>1936</v>
      </c>
      <c r="I27" s="118" t="n">
        <f aca="false">$E27*MAX(0,MIN(I$5+1,$G27)-MAX(I$5,$F27))</f>
        <v>1936</v>
      </c>
      <c r="J27" s="118" t="n">
        <f aca="false">$E27*MAX(0,MIN(J$5+1,$G27)-MAX(J$5,$F27))</f>
        <v>1936</v>
      </c>
      <c r="K27" s="118" t="n">
        <f aca="false">$E27*MAX(0,MIN(K$5+1,$G27)-MAX(K$5,$F27))</f>
        <v>1606.87999999986</v>
      </c>
      <c r="L27" s="118" t="n">
        <f aca="false">$E27*MAX(0,MIN(L$5+1,$G27)-MAX(L$5,$F27))</f>
        <v>0</v>
      </c>
      <c r="M27" s="118" t="n">
        <f aca="false">$E27*MAX(0,MIN(M$5+1,$G27)-MAX(M$5,$F27))</f>
        <v>0</v>
      </c>
      <c r="N27" s="118" t="n">
        <f aca="false">$E27*MAX(0,MIN(N$5+1,$G27)-MAX(N$5,$F27))</f>
        <v>0</v>
      </c>
    </row>
    <row r="28" customFormat="false" ht="15" hidden="false" customHeight="false" outlineLevel="0" collapsed="false">
      <c r="B28" s="9" t="s">
        <v>566</v>
      </c>
      <c r="C28" s="9" t="s">
        <v>531</v>
      </c>
      <c r="D28" s="9" t="s">
        <v>567</v>
      </c>
      <c r="E28" s="116" t="n">
        <v>2004</v>
      </c>
      <c r="F28" s="117" t="n">
        <v>2000</v>
      </c>
      <c r="G28" s="117" t="n">
        <v>2026.83</v>
      </c>
      <c r="H28" s="118" t="n">
        <f aca="false">$E28*MAX(0,MIN(H$5+1,$G28)-MAX(H$5,$F28))</f>
        <v>2004</v>
      </c>
      <c r="I28" s="118" t="n">
        <f aca="false">$E28*MAX(0,MIN(I$5+1,$G28)-MAX(I$5,$F28))</f>
        <v>2004</v>
      </c>
      <c r="J28" s="118" t="n">
        <f aca="false">$E28*MAX(0,MIN(J$5+1,$G28)-MAX(J$5,$F28))</f>
        <v>1663.31999999985</v>
      </c>
      <c r="K28" s="118" t="n">
        <f aca="false">$E28*MAX(0,MIN(K$5+1,$G28)-MAX(K$5,$F28))</f>
        <v>0</v>
      </c>
      <c r="L28" s="118" t="n">
        <f aca="false">$E28*MAX(0,MIN(L$5+1,$G28)-MAX(L$5,$F28))</f>
        <v>0</v>
      </c>
      <c r="M28" s="118" t="n">
        <f aca="false">$E28*MAX(0,MIN(M$5+1,$G28)-MAX(M$5,$F28))</f>
        <v>0</v>
      </c>
      <c r="N28" s="118" t="n">
        <f aca="false">$E28*MAX(0,MIN(N$5+1,$G28)-MAX(N$5,$F28))</f>
        <v>0</v>
      </c>
    </row>
    <row r="29" customFormat="false" ht="15" hidden="false" customHeight="false" outlineLevel="0" collapsed="false">
      <c r="B29" s="9" t="s">
        <v>568</v>
      </c>
      <c r="C29" s="9" t="s">
        <v>531</v>
      </c>
      <c r="D29" s="9" t="s">
        <v>569</v>
      </c>
      <c r="E29" s="119" t="n">
        <f aca="false">1972*$E$3</f>
        <v>1950.87771496578</v>
      </c>
      <c r="F29" s="117" t="n">
        <v>2000</v>
      </c>
      <c r="G29" s="117" t="n">
        <v>2099</v>
      </c>
      <c r="H29" s="118" t="n">
        <f aca="false">$E29*MAX(0,MIN(H$5+1,$G29)-MAX(H$5,$F29))</f>
        <v>1950.87771496578</v>
      </c>
      <c r="I29" s="118" t="n">
        <f aca="false">$E29*MAX(0,MIN(I$5+1,$G29)-MAX(I$5,$F29))</f>
        <v>1950.87771496578</v>
      </c>
      <c r="J29" s="118" t="n">
        <f aca="false">$E29*MAX(0,MIN(J$5+1,$G29)-MAX(J$5,$F29))</f>
        <v>1950.87771496578</v>
      </c>
      <c r="K29" s="118" t="n">
        <f aca="false">$E29*MAX(0,MIN(K$5+1,$G29)-MAX(K$5,$F29))</f>
        <v>1950.87771496578</v>
      </c>
      <c r="L29" s="118" t="n">
        <f aca="false">$E29*MAX(0,MIN(L$5+1,$G29)-MAX(L$5,$F29))</f>
        <v>1950.87771496578</v>
      </c>
      <c r="M29" s="118" t="n">
        <f aca="false">$E29*MAX(0,MIN(M$5+1,$G29)-MAX(M$5,$F29))</f>
        <v>1950.87771496578</v>
      </c>
      <c r="N29" s="118" t="n">
        <f aca="false">$E29*MAX(0,MIN(N$5+1,$G29)-MAX(N$5,$F29))</f>
        <v>1950.87771496578</v>
      </c>
    </row>
    <row r="30" customFormat="false" ht="15" hidden="false" customHeight="false" outlineLevel="0" collapsed="false">
      <c r="B30" s="9" t="s">
        <v>570</v>
      </c>
      <c r="C30" s="9" t="s">
        <v>571</v>
      </c>
      <c r="D30" s="9" t="s">
        <v>572</v>
      </c>
      <c r="E30" s="116" t="n">
        <v>1390</v>
      </c>
      <c r="F30" s="117" t="n">
        <v>2027.58</v>
      </c>
      <c r="G30" s="117" t="n">
        <v>2099</v>
      </c>
      <c r="H30" s="118" t="n">
        <f aca="false">$E30*MAX(0,MIN(H$5+1,$G30)-MAX(H$5,$F30))</f>
        <v>0</v>
      </c>
      <c r="I30" s="118" t="n">
        <f aca="false">$E30*MAX(0,MIN(I$5+1,$G30)-MAX(I$5,$F30))</f>
        <v>0</v>
      </c>
      <c r="J30" s="118" t="n">
        <f aca="false">$E30*MAX(0,MIN(J$5+1,$G30)-MAX(J$5,$F30))</f>
        <v>0</v>
      </c>
      <c r="K30" s="118" t="n">
        <f aca="false">$E30*MAX(0,MIN(K$5+1,$G30)-MAX(K$5,$F30))</f>
        <v>583.800000000101</v>
      </c>
      <c r="L30" s="118" t="n">
        <f aca="false">$E30*MAX(0,MIN(L$5+1,$G30)-MAX(L$5,$F30))</f>
        <v>1390</v>
      </c>
      <c r="M30" s="118" t="n">
        <f aca="false">$E30*MAX(0,MIN(M$5+1,$G30)-MAX(M$5,$F30))</f>
        <v>1390</v>
      </c>
      <c r="N30" s="118" t="n">
        <f aca="false">$E30*MAX(0,MIN(N$5+1,$G30)-MAX(N$5,$F30))</f>
        <v>1390</v>
      </c>
    </row>
    <row r="31" customFormat="false" ht="15" hidden="false" customHeight="false" outlineLevel="0" collapsed="false">
      <c r="B31" s="9" t="s">
        <v>573</v>
      </c>
      <c r="C31" s="9" t="s">
        <v>571</v>
      </c>
      <c r="D31" s="9" t="s">
        <v>574</v>
      </c>
      <c r="E31" s="116" t="n">
        <v>1390</v>
      </c>
      <c r="F31" s="117" t="n">
        <v>2029.5</v>
      </c>
      <c r="G31" s="117" t="n">
        <v>2099</v>
      </c>
      <c r="H31" s="118" t="n">
        <f aca="false">$E31*MAX(0,MIN(H$5+1,$G31)-MAX(H$5,$F31))</f>
        <v>0</v>
      </c>
      <c r="I31" s="118" t="n">
        <f aca="false">$E31*MAX(0,MIN(I$5+1,$G31)-MAX(I$5,$F31))</f>
        <v>0</v>
      </c>
      <c r="J31" s="118" t="n">
        <f aca="false">$E31*MAX(0,MIN(J$5+1,$G31)-MAX(J$5,$F31))</f>
        <v>0</v>
      </c>
      <c r="K31" s="118" t="n">
        <f aca="false">$E31*MAX(0,MIN(K$5+1,$G31)-MAX(K$5,$F31))</f>
        <v>0</v>
      </c>
      <c r="L31" s="118" t="n">
        <f aca="false">$E31*MAX(0,MIN(L$5+1,$G31)-MAX(L$5,$F31))</f>
        <v>0</v>
      </c>
      <c r="M31" s="118" t="n">
        <f aca="false">$E31*MAX(0,MIN(M$5+1,$G31)-MAX(M$5,$F31))</f>
        <v>695</v>
      </c>
      <c r="N31" s="118" t="n">
        <f aca="false">$E31*MAX(0,MIN(N$5+1,$G31)-MAX(N$5,$F31))</f>
        <v>1390</v>
      </c>
    </row>
    <row r="32" customFormat="false" ht="15" hidden="false" customHeight="false" outlineLevel="0" collapsed="false">
      <c r="B32" s="9" t="s">
        <v>575</v>
      </c>
      <c r="C32" s="9" t="s">
        <v>571</v>
      </c>
      <c r="D32" s="9" t="s">
        <v>576</v>
      </c>
      <c r="E32" s="116" t="n">
        <v>1200</v>
      </c>
      <c r="F32" s="117" t="n">
        <v>2025.55</v>
      </c>
      <c r="G32" s="117" t="n">
        <v>2099</v>
      </c>
      <c r="H32" s="118" t="n">
        <f aca="false">$E32*MAX(0,MIN(H$5+1,$G32)-MAX(H$5,$F32))</f>
        <v>0</v>
      </c>
      <c r="I32" s="118" t="n">
        <f aca="false">$E32*MAX(0,MIN(I$5+1,$G32)-MAX(I$5,$F32))</f>
        <v>540.000000000055</v>
      </c>
      <c r="J32" s="118" t="n">
        <f aca="false">$E32*MAX(0,MIN(J$5+1,$G32)-MAX(J$5,$F32))</f>
        <v>1200</v>
      </c>
      <c r="K32" s="118" t="n">
        <f aca="false">$E32*MAX(0,MIN(K$5+1,$G32)-MAX(K$5,$F32))</f>
        <v>1200</v>
      </c>
      <c r="L32" s="118" t="n">
        <f aca="false">$E32*MAX(0,MIN(L$5+1,$G32)-MAX(L$5,$F32))</f>
        <v>1200</v>
      </c>
      <c r="M32" s="118" t="n">
        <f aca="false">$E32*MAX(0,MIN(M$5+1,$G32)-MAX(M$5,$F32))</f>
        <v>1200</v>
      </c>
      <c r="N32" s="118" t="n">
        <f aca="false">$E32*MAX(0,MIN(N$5+1,$G32)-MAX(N$5,$F32))</f>
        <v>1200</v>
      </c>
    </row>
    <row r="33" customFormat="false" ht="15" hidden="false" customHeight="false" outlineLevel="0" collapsed="false">
      <c r="B33" s="9" t="s">
        <v>577</v>
      </c>
      <c r="C33" s="9" t="s">
        <v>571</v>
      </c>
      <c r="D33" s="9" t="s">
        <v>578</v>
      </c>
      <c r="E33" s="119" t="n">
        <f aca="false">1200*$E$3</f>
        <v>1187.14668253496</v>
      </c>
      <c r="F33" s="117" t="n">
        <v>2000</v>
      </c>
      <c r="G33" s="117" t="n">
        <v>2099</v>
      </c>
      <c r="H33" s="118" t="n">
        <f aca="false">$E33*MAX(0,MIN(H$5+1,$G33)-MAX(H$5,$F33))</f>
        <v>1187.14668253496</v>
      </c>
      <c r="I33" s="118" t="n">
        <f aca="false">$E33*MAX(0,MIN(I$5+1,$G33)-MAX(I$5,$F33))</f>
        <v>1187.14668253496</v>
      </c>
      <c r="J33" s="118" t="n">
        <f aca="false">$E33*MAX(0,MIN(J$5+1,$G33)-MAX(J$5,$F33))</f>
        <v>1187.14668253496</v>
      </c>
      <c r="K33" s="118" t="n">
        <f aca="false">$E33*MAX(0,MIN(K$5+1,$G33)-MAX(K$5,$F33))</f>
        <v>1187.14668253496</v>
      </c>
      <c r="L33" s="118" t="n">
        <f aca="false">$E33*MAX(0,MIN(L$5+1,$G33)-MAX(L$5,$F33))</f>
        <v>1187.14668253496</v>
      </c>
      <c r="M33" s="118" t="n">
        <f aca="false">$E33*MAX(0,MIN(M$5+1,$G33)-MAX(M$5,$F33))</f>
        <v>1187.14668253496</v>
      </c>
      <c r="N33" s="118" t="n">
        <f aca="false">$E33*MAX(0,MIN(N$5+1,$G33)-MAX(N$5,$F33))</f>
        <v>1187.14668253496</v>
      </c>
    </row>
    <row r="34" customFormat="false" ht="15" hidden="false" customHeight="false" outlineLevel="0" collapsed="false">
      <c r="B34" s="9" t="s">
        <v>579</v>
      </c>
      <c r="C34" s="9" t="s">
        <v>571</v>
      </c>
      <c r="D34" s="9" t="s">
        <v>580</v>
      </c>
      <c r="E34" s="119" t="n">
        <f aca="false">1250*$E$3</f>
        <v>1236.61112764058</v>
      </c>
      <c r="F34" s="117" t="n">
        <v>2000</v>
      </c>
      <c r="G34" s="117" t="n">
        <v>2099</v>
      </c>
      <c r="H34" s="118" t="n">
        <f aca="false">$E34*MAX(0,MIN(H$5+1,$G34)-MAX(H$5,$F34))</f>
        <v>1236.61112764058</v>
      </c>
      <c r="I34" s="118" t="n">
        <f aca="false">$E34*MAX(0,MIN(I$5+1,$G34)-MAX(I$5,$F34))</f>
        <v>1236.61112764058</v>
      </c>
      <c r="J34" s="118" t="n">
        <f aca="false">$E34*MAX(0,MIN(J$5+1,$G34)-MAX(J$5,$F34))</f>
        <v>1236.61112764058</v>
      </c>
      <c r="K34" s="118" t="n">
        <f aca="false">$E34*MAX(0,MIN(K$5+1,$G34)-MAX(K$5,$F34))</f>
        <v>1236.61112764058</v>
      </c>
      <c r="L34" s="118" t="n">
        <f aca="false">$E34*MAX(0,MIN(L$5+1,$G34)-MAX(L$5,$F34))</f>
        <v>1236.61112764058</v>
      </c>
      <c r="M34" s="118" t="n">
        <f aca="false">$E34*MAX(0,MIN(M$5+1,$G34)-MAX(M$5,$F34))</f>
        <v>1236.61112764058</v>
      </c>
      <c r="N34" s="118" t="n">
        <f aca="false">$E34*MAX(0,MIN(N$5+1,$G34)-MAX(N$5,$F34))</f>
        <v>1236.61112764058</v>
      </c>
    </row>
    <row r="35" customFormat="false" ht="15" hidden="false" customHeight="false" outlineLevel="0" collapsed="false">
      <c r="B35" s="9" t="s">
        <v>581</v>
      </c>
      <c r="C35" s="9" t="s">
        <v>571</v>
      </c>
      <c r="D35" s="9" t="s">
        <v>580</v>
      </c>
      <c r="E35" s="119" t="n">
        <f aca="false">1250*$E$3</f>
        <v>1236.61112764058</v>
      </c>
      <c r="F35" s="117" t="n">
        <v>2000</v>
      </c>
      <c r="G35" s="117" t="n">
        <v>2099</v>
      </c>
      <c r="H35" s="118" t="n">
        <f aca="false">$E35*MAX(0,MIN(H$5+1,$G35)-MAX(H$5,$F35))</f>
        <v>1236.61112764058</v>
      </c>
      <c r="I35" s="118" t="n">
        <f aca="false">$E35*MAX(0,MIN(I$5+1,$G35)-MAX(I$5,$F35))</f>
        <v>1236.61112764058</v>
      </c>
      <c r="J35" s="118" t="n">
        <f aca="false">$E35*MAX(0,MIN(J$5+1,$G35)-MAX(J$5,$F35))</f>
        <v>1236.61112764058</v>
      </c>
      <c r="K35" s="118" t="n">
        <f aca="false">$E35*MAX(0,MIN(K$5+1,$G35)-MAX(K$5,$F35))</f>
        <v>1236.61112764058</v>
      </c>
      <c r="L35" s="118" t="n">
        <f aca="false">$E35*MAX(0,MIN(L$5+1,$G35)-MAX(L$5,$F35))</f>
        <v>1236.61112764058</v>
      </c>
      <c r="M35" s="118" t="n">
        <f aca="false">$E35*MAX(0,MIN(M$5+1,$G35)-MAX(M$5,$F35))</f>
        <v>1236.61112764058</v>
      </c>
      <c r="N35" s="118" t="n">
        <f aca="false">$E35*MAX(0,MIN(N$5+1,$G35)-MAX(N$5,$F35))</f>
        <v>1236.61112764058</v>
      </c>
    </row>
    <row r="36" customFormat="false" ht="15" hidden="false" customHeight="false" outlineLevel="0" collapsed="false">
      <c r="B36" s="9" t="s">
        <v>582</v>
      </c>
      <c r="C36" s="9" t="s">
        <v>571</v>
      </c>
      <c r="D36" s="9" t="s">
        <v>583</v>
      </c>
      <c r="E36" s="116" t="n">
        <v>684</v>
      </c>
      <c r="F36" s="117" t="n">
        <v>2000</v>
      </c>
      <c r="G36" s="117" t="n">
        <v>2099</v>
      </c>
      <c r="H36" s="118" t="n">
        <f aca="false">$E36*MAX(0,MIN(H$5+1,$G36)-MAX(H$5,$F36))</f>
        <v>684</v>
      </c>
      <c r="I36" s="118" t="n">
        <f aca="false">$E36*MAX(0,MIN(I$5+1,$G36)-MAX(I$5,$F36))</f>
        <v>684</v>
      </c>
      <c r="J36" s="118" t="n">
        <f aca="false">$E36*MAX(0,MIN(J$5+1,$G36)-MAX(J$5,$F36))</f>
        <v>684</v>
      </c>
      <c r="K36" s="118" t="n">
        <f aca="false">$E36*MAX(0,MIN(K$5+1,$G36)-MAX(K$5,$F36))</f>
        <v>684</v>
      </c>
      <c r="L36" s="118" t="n">
        <f aca="false">$E36*MAX(0,MIN(L$5+1,$G36)-MAX(L$5,$F36))</f>
        <v>684</v>
      </c>
      <c r="M36" s="118" t="n">
        <f aca="false">$E36*MAX(0,MIN(M$5+1,$G36)-MAX(M$5,$F36))</f>
        <v>684</v>
      </c>
      <c r="N36" s="118" t="n">
        <f aca="false">$E36*MAX(0,MIN(N$5+1,$G36)-MAX(N$5,$F36))</f>
        <v>684</v>
      </c>
    </row>
    <row r="37" customFormat="false" ht="15" hidden="false" customHeight="false" outlineLevel="0" collapsed="false">
      <c r="B37" s="9" t="s">
        <v>584</v>
      </c>
      <c r="C37" s="9" t="s">
        <v>571</v>
      </c>
      <c r="D37" s="9" t="s">
        <v>585</v>
      </c>
      <c r="E37" s="119" t="n">
        <f aca="false">684*$E$3</f>
        <v>676.673609044927</v>
      </c>
      <c r="F37" s="117" t="n">
        <v>2000</v>
      </c>
      <c r="G37" s="117" t="n">
        <v>2099</v>
      </c>
      <c r="H37" s="118" t="n">
        <f aca="false">$E37*MAX(0,MIN(H$5+1,$G37)-MAX(H$5,$F37))</f>
        <v>676.673609044927</v>
      </c>
      <c r="I37" s="118" t="n">
        <f aca="false">$E37*MAX(0,MIN(I$5+1,$G37)-MAX(I$5,$F37))</f>
        <v>676.673609044927</v>
      </c>
      <c r="J37" s="118" t="n">
        <f aca="false">$E37*MAX(0,MIN(J$5+1,$G37)-MAX(J$5,$F37))</f>
        <v>676.673609044927</v>
      </c>
      <c r="K37" s="118" t="n">
        <f aca="false">$E37*MAX(0,MIN(K$5+1,$G37)-MAX(K$5,$F37))</f>
        <v>676.673609044927</v>
      </c>
      <c r="L37" s="118" t="n">
        <f aca="false">$E37*MAX(0,MIN(L$5+1,$G37)-MAX(L$5,$F37))</f>
        <v>676.673609044927</v>
      </c>
      <c r="M37" s="118" t="n">
        <f aca="false">$E37*MAX(0,MIN(M$5+1,$G37)-MAX(M$5,$F37))</f>
        <v>676.673609044927</v>
      </c>
      <c r="N37" s="118" t="n">
        <f aca="false">$E37*MAX(0,MIN(N$5+1,$G37)-MAX(N$5,$F37))</f>
        <v>676.673609044927</v>
      </c>
    </row>
    <row r="38" customFormat="false" ht="15" hidden="false" customHeight="false" outlineLevel="0" collapsed="false">
      <c r="B38" s="9" t="s">
        <v>586</v>
      </c>
      <c r="C38" s="9" t="s">
        <v>571</v>
      </c>
      <c r="D38" s="9" t="s">
        <v>585</v>
      </c>
      <c r="E38" s="119" t="n">
        <f aca="false">684*$E$3</f>
        <v>676.673609044927</v>
      </c>
      <c r="F38" s="117" t="n">
        <v>2000</v>
      </c>
      <c r="G38" s="117" t="n">
        <v>2099</v>
      </c>
      <c r="H38" s="118" t="n">
        <f aca="false">$E38*MAX(0,MIN(H$5+1,$G38)-MAX(H$5,$F38))</f>
        <v>676.673609044927</v>
      </c>
      <c r="I38" s="118" t="n">
        <f aca="false">$E38*MAX(0,MIN(I$5+1,$G38)-MAX(I$5,$F38))</f>
        <v>676.673609044927</v>
      </c>
      <c r="J38" s="118" t="n">
        <f aca="false">$E38*MAX(0,MIN(J$5+1,$G38)-MAX(J$5,$F38))</f>
        <v>676.673609044927</v>
      </c>
      <c r="K38" s="118" t="n">
        <f aca="false">$E38*MAX(0,MIN(K$5+1,$G38)-MAX(K$5,$F38))</f>
        <v>676.673609044927</v>
      </c>
      <c r="L38" s="118" t="n">
        <f aca="false">$E38*MAX(0,MIN(L$5+1,$G38)-MAX(L$5,$F38))</f>
        <v>676.673609044927</v>
      </c>
      <c r="M38" s="118" t="n">
        <f aca="false">$E38*MAX(0,MIN(M$5+1,$G38)-MAX(M$5,$F38))</f>
        <v>676.673609044927</v>
      </c>
      <c r="N38" s="118" t="n">
        <f aca="false">$E38*MAX(0,MIN(N$5+1,$G38)-MAX(N$5,$F38))</f>
        <v>676.673609044927</v>
      </c>
    </row>
    <row r="39" customFormat="false" ht="15" hidden="false" customHeight="false" outlineLevel="0" collapsed="false">
      <c r="B39" s="9" t="s">
        <v>587</v>
      </c>
      <c r="C39" s="9" t="s">
        <v>571</v>
      </c>
      <c r="D39" s="9" t="s">
        <v>585</v>
      </c>
      <c r="E39" s="119" t="n">
        <f aca="false">684*$E$3</f>
        <v>676.673609044927</v>
      </c>
      <c r="F39" s="117" t="n">
        <v>2000</v>
      </c>
      <c r="G39" s="117" t="n">
        <v>2099</v>
      </c>
      <c r="H39" s="118" t="n">
        <f aca="false">$E39*MAX(0,MIN(H$5+1,$G39)-MAX(H$5,$F39))</f>
        <v>676.673609044927</v>
      </c>
      <c r="I39" s="118" t="n">
        <f aca="false">$E39*MAX(0,MIN(I$5+1,$G39)-MAX(I$5,$F39))</f>
        <v>676.673609044927</v>
      </c>
      <c r="J39" s="118" t="n">
        <f aca="false">$E39*MAX(0,MIN(J$5+1,$G39)-MAX(J$5,$F39))</f>
        <v>676.673609044927</v>
      </c>
      <c r="K39" s="118" t="n">
        <f aca="false">$E39*MAX(0,MIN(K$5+1,$G39)-MAX(K$5,$F39))</f>
        <v>676.673609044927</v>
      </c>
      <c r="L39" s="118" t="n">
        <f aca="false">$E39*MAX(0,MIN(L$5+1,$G39)-MAX(L$5,$F39))</f>
        <v>676.673609044927</v>
      </c>
      <c r="M39" s="118" t="n">
        <f aca="false">$E39*MAX(0,MIN(M$5+1,$G39)-MAX(M$5,$F39))</f>
        <v>676.673609044927</v>
      </c>
      <c r="N39" s="118" t="n">
        <f aca="false">$E39*MAX(0,MIN(N$5+1,$G39)-MAX(N$5,$F39))</f>
        <v>676.673609044927</v>
      </c>
    </row>
    <row r="40" customFormat="false" ht="15" hidden="false" customHeight="false" outlineLevel="0" collapsed="false">
      <c r="B40" s="9" t="s">
        <v>588</v>
      </c>
      <c r="C40" s="9" t="s">
        <v>589</v>
      </c>
      <c r="D40" s="9" t="s">
        <v>590</v>
      </c>
      <c r="E40" s="116" t="n">
        <v>822</v>
      </c>
      <c r="F40" s="117" t="n">
        <v>2026.96</v>
      </c>
      <c r="G40" s="117" t="n">
        <v>2099</v>
      </c>
      <c r="H40" s="118" t="n">
        <f aca="false">$E40*MAX(0,MIN(H$5+1,$G40)-MAX(H$5,$F40))</f>
        <v>0</v>
      </c>
      <c r="I40" s="118" t="n">
        <f aca="false">$E40*MAX(0,MIN(I$5+1,$G40)-MAX(I$5,$F40))</f>
        <v>0</v>
      </c>
      <c r="J40" s="118" t="n">
        <f aca="false">$E40*MAX(0,MIN(J$5+1,$G40)-MAX(J$5,$F40))</f>
        <v>32.8799999999701</v>
      </c>
      <c r="K40" s="118" t="n">
        <f aca="false">$E40*MAX(0,MIN(K$5+1,$G40)-MAX(K$5,$F40))</f>
        <v>822</v>
      </c>
      <c r="L40" s="118" t="n">
        <f aca="false">$E40*MAX(0,MIN(L$5+1,$G40)-MAX(L$5,$F40))</f>
        <v>822</v>
      </c>
      <c r="M40" s="118" t="n">
        <f aca="false">$E40*MAX(0,MIN(M$5+1,$G40)-MAX(M$5,$F40))</f>
        <v>822</v>
      </c>
      <c r="N40" s="118" t="n">
        <f aca="false">$E40*MAX(0,MIN(N$5+1,$G40)-MAX(N$5,$F40))</f>
        <v>822</v>
      </c>
    </row>
    <row r="41" customFormat="false" ht="15" hidden="false" customHeight="false" outlineLevel="0" collapsed="false">
      <c r="B41" s="9" t="s">
        <v>591</v>
      </c>
      <c r="C41" s="9" t="s">
        <v>589</v>
      </c>
      <c r="D41" s="9" t="s">
        <v>592</v>
      </c>
      <c r="E41" s="116" t="n">
        <v>822</v>
      </c>
      <c r="F41" s="117" t="n">
        <v>2029.5</v>
      </c>
      <c r="G41" s="117" t="n">
        <v>2099</v>
      </c>
      <c r="H41" s="118" t="n">
        <f aca="false">$E41*MAX(0,MIN(H$5+1,$G41)-MAX(H$5,$F41))</f>
        <v>0</v>
      </c>
      <c r="I41" s="118" t="n">
        <f aca="false">$E41*MAX(0,MIN(I$5+1,$G41)-MAX(I$5,$F41))</f>
        <v>0</v>
      </c>
      <c r="J41" s="118" t="n">
        <f aca="false">$E41*MAX(0,MIN(J$5+1,$G41)-MAX(J$5,$F41))</f>
        <v>0</v>
      </c>
      <c r="K41" s="118" t="n">
        <f aca="false">$E41*MAX(0,MIN(K$5+1,$G41)-MAX(K$5,$F41))</f>
        <v>0</v>
      </c>
      <c r="L41" s="118" t="n">
        <f aca="false">$E41*MAX(0,MIN(L$5+1,$G41)-MAX(L$5,$F41))</f>
        <v>0</v>
      </c>
      <c r="M41" s="118" t="n">
        <f aca="false">$E41*MAX(0,MIN(M$5+1,$G41)-MAX(M$5,$F41))</f>
        <v>411</v>
      </c>
      <c r="N41" s="118" t="n">
        <f aca="false">$E41*MAX(0,MIN(N$5+1,$G41)-MAX(N$5,$F41))</f>
        <v>822</v>
      </c>
    </row>
    <row r="42" customFormat="false" ht="15" hidden="false" customHeight="false" outlineLevel="0" collapsed="false">
      <c r="B42" s="9" t="s">
        <v>593</v>
      </c>
      <c r="C42" s="9" t="s">
        <v>589</v>
      </c>
      <c r="D42" s="9" t="s">
        <v>594</v>
      </c>
      <c r="E42" s="119" t="n">
        <f aca="false">746*$E$3</f>
        <v>738.0095209759</v>
      </c>
      <c r="F42" s="117" t="n">
        <v>2000</v>
      </c>
      <c r="G42" s="117" t="n">
        <v>2099</v>
      </c>
      <c r="H42" s="118" t="n">
        <f aca="false">$E42*MAX(0,MIN(H$5+1,$G42)-MAX(H$5,$F42))</f>
        <v>738.0095209759</v>
      </c>
      <c r="I42" s="118" t="n">
        <f aca="false">$E42*MAX(0,MIN(I$5+1,$G42)-MAX(I$5,$F42))</f>
        <v>738.0095209759</v>
      </c>
      <c r="J42" s="118" t="n">
        <f aca="false">$E42*MAX(0,MIN(J$5+1,$G42)-MAX(J$5,$F42))</f>
        <v>738.0095209759</v>
      </c>
      <c r="K42" s="118" t="n">
        <f aca="false">$E42*MAX(0,MIN(K$5+1,$G42)-MAX(K$5,$F42))</f>
        <v>738.0095209759</v>
      </c>
      <c r="L42" s="118" t="n">
        <f aca="false">$E42*MAX(0,MIN(L$5+1,$G42)-MAX(L$5,$F42))</f>
        <v>738.0095209759</v>
      </c>
      <c r="M42" s="118" t="n">
        <f aca="false">$E42*MAX(0,MIN(M$5+1,$G42)-MAX(M$5,$F42))</f>
        <v>738.0095209759</v>
      </c>
      <c r="N42" s="118" t="n">
        <f aca="false">$E42*MAX(0,MIN(N$5+1,$G42)-MAX(N$5,$F42))</f>
        <v>738.0095209759</v>
      </c>
    </row>
    <row r="43" customFormat="false" ht="15" hidden="false" customHeight="false" outlineLevel="0" collapsed="false">
      <c r="B43" s="9" t="s">
        <v>595</v>
      </c>
      <c r="C43" s="9" t="s">
        <v>589</v>
      </c>
      <c r="D43" s="9" t="s">
        <v>594</v>
      </c>
      <c r="E43" s="119" t="n">
        <f aca="false">750*$E$3</f>
        <v>741.96667658435</v>
      </c>
      <c r="F43" s="117" t="n">
        <v>2000</v>
      </c>
      <c r="G43" s="117" t="n">
        <v>2099</v>
      </c>
      <c r="H43" s="118" t="n">
        <f aca="false">$E43*MAX(0,MIN(H$5+1,$G43)-MAX(H$5,$F43))</f>
        <v>741.96667658435</v>
      </c>
      <c r="I43" s="118" t="n">
        <f aca="false">$E43*MAX(0,MIN(I$5+1,$G43)-MAX(I$5,$F43))</f>
        <v>741.96667658435</v>
      </c>
      <c r="J43" s="118" t="n">
        <f aca="false">$E43*MAX(0,MIN(J$5+1,$G43)-MAX(J$5,$F43))</f>
        <v>741.96667658435</v>
      </c>
      <c r="K43" s="118" t="n">
        <f aca="false">$E43*MAX(0,MIN(K$5+1,$G43)-MAX(K$5,$F43))</f>
        <v>741.96667658435</v>
      </c>
      <c r="L43" s="118" t="n">
        <f aca="false">$E43*MAX(0,MIN(L$5+1,$G43)-MAX(L$5,$F43))</f>
        <v>741.96667658435</v>
      </c>
      <c r="M43" s="118" t="n">
        <f aca="false">$E43*MAX(0,MIN(M$5+1,$G43)-MAX(M$5,$F43))</f>
        <v>741.96667658435</v>
      </c>
      <c r="N43" s="118" t="n">
        <f aca="false">$E43*MAX(0,MIN(N$5+1,$G43)-MAX(N$5,$F43))</f>
        <v>741.96667658435</v>
      </c>
    </row>
    <row r="44" customFormat="false" ht="15" hidden="false" customHeight="false" outlineLevel="0" collapsed="false">
      <c r="B44" s="9" t="s">
        <v>596</v>
      </c>
      <c r="C44" s="9" t="s">
        <v>589</v>
      </c>
      <c r="D44" s="9" t="s">
        <v>594</v>
      </c>
      <c r="E44" s="119" t="n">
        <f aca="false">750*$E$3</f>
        <v>741.96667658435</v>
      </c>
      <c r="F44" s="117" t="n">
        <v>2000</v>
      </c>
      <c r="G44" s="117" t="n">
        <v>2099</v>
      </c>
      <c r="H44" s="118" t="n">
        <f aca="false">$E44*MAX(0,MIN(H$5+1,$G44)-MAX(H$5,$F44))</f>
        <v>741.96667658435</v>
      </c>
      <c r="I44" s="118" t="n">
        <f aca="false">$E44*MAX(0,MIN(I$5+1,$G44)-MAX(I$5,$F44))</f>
        <v>741.96667658435</v>
      </c>
      <c r="J44" s="118" t="n">
        <f aca="false">$E44*MAX(0,MIN(J$5+1,$G44)-MAX(J$5,$F44))</f>
        <v>741.96667658435</v>
      </c>
      <c r="K44" s="118" t="n">
        <f aca="false">$E44*MAX(0,MIN(K$5+1,$G44)-MAX(K$5,$F44))</f>
        <v>741.96667658435</v>
      </c>
      <c r="L44" s="118" t="n">
        <f aca="false">$E44*MAX(0,MIN(L$5+1,$G44)-MAX(L$5,$F44))</f>
        <v>741.96667658435</v>
      </c>
      <c r="M44" s="118" t="n">
        <f aca="false">$E44*MAX(0,MIN(M$5+1,$G44)-MAX(M$5,$F44))</f>
        <v>741.96667658435</v>
      </c>
      <c r="N44" s="118" t="n">
        <f aca="false">$E44*MAX(0,MIN(N$5+1,$G44)-MAX(N$5,$F44))</f>
        <v>741.96667658435</v>
      </c>
    </row>
    <row r="45" customFormat="false" ht="15" hidden="false" customHeight="false" outlineLevel="0" collapsed="false">
      <c r="B45" s="9" t="s">
        <v>597</v>
      </c>
      <c r="C45" s="9" t="s">
        <v>589</v>
      </c>
      <c r="D45" s="9" t="s">
        <v>598</v>
      </c>
      <c r="E45" s="119" t="n">
        <f aca="false">700*$E$3</f>
        <v>692.502231478727</v>
      </c>
      <c r="F45" s="117" t="n">
        <v>2000</v>
      </c>
      <c r="G45" s="117" t="n">
        <v>2099</v>
      </c>
      <c r="H45" s="118" t="n">
        <f aca="false">$E45*MAX(0,MIN(H$5+1,$G45)-MAX(H$5,$F45))</f>
        <v>692.502231478727</v>
      </c>
      <c r="I45" s="118" t="n">
        <f aca="false">$E45*MAX(0,MIN(I$5+1,$G45)-MAX(I$5,$F45))</f>
        <v>692.502231478727</v>
      </c>
      <c r="J45" s="118" t="n">
        <f aca="false">$E45*MAX(0,MIN(J$5+1,$G45)-MAX(J$5,$F45))</f>
        <v>692.502231478727</v>
      </c>
      <c r="K45" s="118" t="n">
        <f aca="false">$E45*MAX(0,MIN(K$5+1,$G45)-MAX(K$5,$F45))</f>
        <v>692.502231478727</v>
      </c>
      <c r="L45" s="118" t="n">
        <f aca="false">$E45*MAX(0,MIN(L$5+1,$G45)-MAX(L$5,$F45))</f>
        <v>692.502231478727</v>
      </c>
      <c r="M45" s="118" t="n">
        <f aca="false">$E45*MAX(0,MIN(M$5+1,$G45)-MAX(M$5,$F45))</f>
        <v>692.502231478727</v>
      </c>
      <c r="N45" s="118" t="n">
        <f aca="false">$E45*MAX(0,MIN(N$5+1,$G45)-MAX(N$5,$F45))</f>
        <v>692.502231478727</v>
      </c>
    </row>
    <row r="46" customFormat="false" ht="15" hidden="false" customHeight="false" outlineLevel="0" collapsed="false">
      <c r="B46" s="9" t="s">
        <v>599</v>
      </c>
      <c r="C46" s="9" t="s">
        <v>589</v>
      </c>
      <c r="D46" s="9" t="s">
        <v>600</v>
      </c>
      <c r="E46" s="119" t="n">
        <f aca="false">700*$E$3</f>
        <v>692.502231478727</v>
      </c>
      <c r="F46" s="117" t="n">
        <v>2000</v>
      </c>
      <c r="G46" s="117" t="n">
        <v>2099</v>
      </c>
      <c r="H46" s="118" t="n">
        <f aca="false">$E46*MAX(0,MIN(H$5+1,$G46)-MAX(H$5,$F46))</f>
        <v>692.502231478727</v>
      </c>
      <c r="I46" s="118" t="n">
        <f aca="false">$E46*MAX(0,MIN(I$5+1,$G46)-MAX(I$5,$F46))</f>
        <v>692.502231478727</v>
      </c>
      <c r="J46" s="118" t="n">
        <f aca="false">$E46*MAX(0,MIN(J$5+1,$G46)-MAX(J$5,$F46))</f>
        <v>692.502231478727</v>
      </c>
      <c r="K46" s="118" t="n">
        <f aca="false">$E46*MAX(0,MIN(K$5+1,$G46)-MAX(K$5,$F46))</f>
        <v>692.502231478727</v>
      </c>
      <c r="L46" s="118" t="n">
        <f aca="false">$E46*MAX(0,MIN(L$5+1,$G46)-MAX(L$5,$F46))</f>
        <v>692.502231478727</v>
      </c>
      <c r="M46" s="118" t="n">
        <f aca="false">$E46*MAX(0,MIN(M$5+1,$G46)-MAX(M$5,$F46))</f>
        <v>692.502231478727</v>
      </c>
      <c r="N46" s="118" t="n">
        <f aca="false">$E46*MAX(0,MIN(N$5+1,$G46)-MAX(N$5,$F46))</f>
        <v>692.502231478727</v>
      </c>
    </row>
    <row r="47" customFormat="false" ht="15" hidden="false" customHeight="false" outlineLevel="0" collapsed="false">
      <c r="B47" s="9" t="s">
        <v>601</v>
      </c>
      <c r="C47" s="9" t="s">
        <v>589</v>
      </c>
      <c r="D47" s="9" t="s">
        <v>565</v>
      </c>
      <c r="E47" s="116" t="n">
        <v>490</v>
      </c>
      <c r="F47" s="117" t="n">
        <v>2000</v>
      </c>
      <c r="G47" s="117" t="n">
        <v>2027.83</v>
      </c>
      <c r="H47" s="118" t="n">
        <f aca="false">$E47*MAX(0,MIN(H$5+1,$G47)-MAX(H$5,$F47))</f>
        <v>490</v>
      </c>
      <c r="I47" s="118" t="n">
        <f aca="false">$E47*MAX(0,MIN(I$5+1,$G47)-MAX(I$5,$F47))</f>
        <v>490</v>
      </c>
      <c r="J47" s="118" t="n">
        <f aca="false">$E47*MAX(0,MIN(J$5+1,$G47)-MAX(J$5,$F47))</f>
        <v>490</v>
      </c>
      <c r="K47" s="118" t="n">
        <f aca="false">$E47*MAX(0,MIN(K$5+1,$G47)-MAX(K$5,$F47))</f>
        <v>406.699999999964</v>
      </c>
      <c r="L47" s="118" t="n">
        <f aca="false">$E47*MAX(0,MIN(L$5+1,$G47)-MAX(L$5,$F47))</f>
        <v>0</v>
      </c>
      <c r="M47" s="118" t="n">
        <f aca="false">$E47*MAX(0,MIN(M$5+1,$G47)-MAX(M$5,$F47))</f>
        <v>0</v>
      </c>
      <c r="N47" s="118" t="n">
        <f aca="false">$E47*MAX(0,MIN(N$5+1,$G47)-MAX(N$5,$F47))</f>
        <v>0</v>
      </c>
    </row>
    <row r="49" customFormat="false" ht="15" hidden="false" customHeight="false" outlineLevel="0" collapsed="false">
      <c r="B49" s="4" t="s">
        <v>602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B50" s="9" t="s">
        <v>531</v>
      </c>
      <c r="H50" s="118" t="n">
        <f aca="false">SUM(H6:H29)</f>
        <v>56083.4394525439</v>
      </c>
      <c r="I50" s="118" t="n">
        <f aca="false">SUM(I6:I29)</f>
        <v>58745.9394525439</v>
      </c>
      <c r="J50" s="118" t="n">
        <f aca="false">SUM(J6:J29)</f>
        <v>61966.5094525437</v>
      </c>
      <c r="K50" s="118" t="n">
        <f aca="false">SUM(K6:K29)</f>
        <v>63115.7194525435</v>
      </c>
      <c r="L50" s="118" t="n">
        <f aca="false">SUM(L6:L29)</f>
        <v>65078.4394525439</v>
      </c>
      <c r="M50" s="118" t="n">
        <f aca="false">SUM(M6:M29)</f>
        <v>67018.4394525439</v>
      </c>
      <c r="N50" s="118" t="n">
        <f aca="false">SUM(N6:N29)</f>
        <v>69518.4394525439</v>
      </c>
    </row>
    <row r="51" customFormat="false" ht="15" hidden="false" customHeight="false" outlineLevel="0" collapsed="false">
      <c r="B51" s="9" t="s">
        <v>571</v>
      </c>
      <c r="H51" s="118" t="n">
        <f aca="false">SUM(H30:H39)</f>
        <v>6374.38976495091</v>
      </c>
      <c r="I51" s="118" t="n">
        <f aca="false">SUM(I30:I39)</f>
        <v>6914.38976495096</v>
      </c>
      <c r="J51" s="118" t="n">
        <f aca="false">SUM(J30:J39)</f>
        <v>7574.38976495091</v>
      </c>
      <c r="K51" s="118" t="n">
        <f aca="false">SUM(K30:K39)</f>
        <v>8158.18976495101</v>
      </c>
      <c r="L51" s="118" t="n">
        <f aca="false">SUM(L30:L39)</f>
        <v>8964.38976495091</v>
      </c>
      <c r="M51" s="118" t="n">
        <f aca="false">SUM(M30:M39)</f>
        <v>9659.38976495091</v>
      </c>
      <c r="N51" s="118" t="n">
        <f aca="false">SUM(N30:N39)</f>
        <v>10354.3897649509</v>
      </c>
    </row>
    <row r="52" customFormat="false" ht="15" hidden="false" customHeight="false" outlineLevel="0" collapsed="false">
      <c r="B52" s="9" t="s">
        <v>589</v>
      </c>
      <c r="H52" s="118" t="n">
        <f aca="false">SUM(H40:H47)</f>
        <v>4096.94733710205</v>
      </c>
      <c r="I52" s="118" t="n">
        <f aca="false">SUM(I40:I47)</f>
        <v>4096.94733710205</v>
      </c>
      <c r="J52" s="118" t="n">
        <f aca="false">SUM(J40:J47)</f>
        <v>4129.82733710202</v>
      </c>
      <c r="K52" s="118" t="n">
        <f aca="false">SUM(K40:K47)</f>
        <v>4835.64733710202</v>
      </c>
      <c r="L52" s="118" t="n">
        <f aca="false">SUM(L40:L47)</f>
        <v>4428.94733710205</v>
      </c>
      <c r="M52" s="118" t="n">
        <f aca="false">SUM(M40:M47)</f>
        <v>4839.94733710205</v>
      </c>
      <c r="N52" s="118" t="n">
        <f aca="false">SUM(N40:N47)</f>
        <v>5250.94733710205</v>
      </c>
    </row>
    <row r="53" customFormat="false" ht="15" hidden="false" customHeight="false" outlineLevel="0" collapsed="false">
      <c r="B53" s="19" t="s">
        <v>603</v>
      </c>
      <c r="H53" s="120" t="n">
        <f aca="false">SUM(H50:H52)</f>
        <v>66554.7765545968</v>
      </c>
      <c r="I53" s="120" t="n">
        <f aca="false">SUM(I50:I52)</f>
        <v>69757.2765545969</v>
      </c>
      <c r="J53" s="120" t="n">
        <f aca="false">SUM(J50:J52)</f>
        <v>73670.7265545967</v>
      </c>
      <c r="K53" s="120" t="n">
        <f aca="false">SUM(K50:K52)</f>
        <v>76109.5565545965</v>
      </c>
      <c r="L53" s="120" t="n">
        <f aca="false">SUM(L50:L52)</f>
        <v>78471.7765545968</v>
      </c>
      <c r="M53" s="120" t="n">
        <f aca="false">SUM(M50:M52)</f>
        <v>81517.7765545968</v>
      </c>
      <c r="N53" s="120" t="n">
        <f aca="false">SUM(N50:N52)</f>
        <v>85123.7765545968</v>
      </c>
    </row>
    <row r="54" customFormat="false" ht="15" hidden="false" customHeight="false" outlineLevel="0" collapsed="false">
      <c r="B54" s="9" t="s">
        <v>604</v>
      </c>
      <c r="H54" s="11" t="n">
        <f aca="false">SUM(H6:H11)/H50</f>
        <v>0.109330181514303</v>
      </c>
      <c r="I54" s="11" t="n">
        <f aca="false">SUM(I6:I11)/I50</f>
        <v>0.149697369677731</v>
      </c>
      <c r="J54" s="11" t="n">
        <f aca="false">SUM(J6:J11)/J50</f>
        <v>0.199387745484603</v>
      </c>
      <c r="K54" s="11" t="n">
        <f aca="false">SUM(K6:K11)/K50</f>
        <v>0.245533327508767</v>
      </c>
      <c r="L54" s="11" t="n">
        <f aca="false">SUM(L6:L11)/L50</f>
        <v>0.292978946263712</v>
      </c>
      <c r="M54" s="11" t="n">
        <f aca="false">SUM(M6:M11)/M50</f>
        <v>0.313445266510092</v>
      </c>
      <c r="N54" s="11" t="n">
        <f aca="false">SUM(N6:N11)/N50</f>
        <v>0.302173247568842</v>
      </c>
    </row>
    <row r="56" customFormat="false" ht="15" hidden="false" customHeight="false" outlineLevel="0" collapsed="false">
      <c r="B56" s="4" t="s">
        <v>605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false" outlineLevel="0" collapsed="false">
      <c r="B57" s="9" t="s">
        <v>606</v>
      </c>
      <c r="H57" s="91" t="n">
        <f aca="false">'Quarterly (A)'!L29</f>
        <v>23.4454</v>
      </c>
      <c r="I57" s="91" t="n">
        <f aca="false">'Quarterly (A)'!M29</f>
        <v>24.4336</v>
      </c>
      <c r="J57" s="91" t="n">
        <f aca="false">Consensus!C34</f>
        <v>26.25</v>
      </c>
    </row>
    <row r="58" customFormat="false" ht="15" hidden="false" customHeight="false" outlineLevel="0" collapsed="false">
      <c r="B58" s="9" t="s">
        <v>607</v>
      </c>
      <c r="H58" s="121" t="n">
        <f aca="false">H57*1000000/H53</f>
        <v>352.272236700653</v>
      </c>
      <c r="I58" s="121" t="n">
        <f aca="false">I57*1000000/I53</f>
        <v>350.265968036705</v>
      </c>
      <c r="J58" s="121" t="n">
        <f aca="false">J57*1000000/J53</f>
        <v>356.315204527627</v>
      </c>
      <c r="K58" s="121" t="n">
        <f aca="false">$J$58</f>
        <v>356.315204527627</v>
      </c>
      <c r="L58" s="121" t="n">
        <f aca="false">$J$58</f>
        <v>356.315204527627</v>
      </c>
      <c r="M58" s="121" t="n">
        <f aca="false">$J$58</f>
        <v>356.315204527627</v>
      </c>
      <c r="N58" s="121" t="n">
        <f aca="false">$J$58</f>
        <v>356.315204527627</v>
      </c>
    </row>
    <row r="59" customFormat="false" ht="15" hidden="false" customHeight="false" outlineLevel="0" collapsed="false">
      <c r="B59" s="19" t="s">
        <v>608</v>
      </c>
      <c r="H59" s="122" t="n">
        <f aca="false">H53*H58/1000000</f>
        <v>23.4454</v>
      </c>
      <c r="I59" s="122" t="n">
        <f aca="false">I53*I58/1000000</f>
        <v>24.4336</v>
      </c>
      <c r="J59" s="122" t="n">
        <f aca="false">J53*J58/1000000</f>
        <v>26.25</v>
      </c>
      <c r="K59" s="122" t="n">
        <f aca="false">K53*K58/1000000</f>
        <v>27.118992210258</v>
      </c>
      <c r="L59" s="122" t="n">
        <f aca="false">L53*L58/1000000</f>
        <v>27.9606871126974</v>
      </c>
      <c r="M59" s="122" t="n">
        <f aca="false">M53*M58/1000000</f>
        <v>29.0460232256886</v>
      </c>
      <c r="N59" s="122" t="n">
        <f aca="false">N53*N58/1000000</f>
        <v>30.3308958532152</v>
      </c>
    </row>
    <row r="60" customFormat="false" ht="15" hidden="false" customHeight="false" outlineLevel="0" collapsed="false">
      <c r="B60" s="19" t="s">
        <v>609</v>
      </c>
      <c r="I60" s="88" t="n">
        <f aca="false">I59/H59-1</f>
        <v>0.042148992979433</v>
      </c>
      <c r="J60" s="88" t="n">
        <f aca="false">J59/I59-1</f>
        <v>0.0743402527666821</v>
      </c>
      <c r="K60" s="88" t="n">
        <f aca="false">K59/J59-1</f>
        <v>0.0331044651526875</v>
      </c>
      <c r="L60" s="88" t="n">
        <f aca="false">L59/K59-1</f>
        <v>0.0310371010808064</v>
      </c>
      <c r="M60" s="88" t="n">
        <f aca="false">M59/L59-1</f>
        <v>0.0388165036365749</v>
      </c>
      <c r="N60" s="88" t="n">
        <f aca="false">N59/M59-1</f>
        <v>0.0442357501935162</v>
      </c>
    </row>
    <row r="61" customFormat="false" ht="15" hidden="false" customHeight="false" outlineLevel="0" collapsed="false">
      <c r="B61" s="9" t="s">
        <v>610</v>
      </c>
      <c r="J61" s="91" t="n">
        <f aca="false">'Net Yield Build'!T94</f>
        <v>26.249873492</v>
      </c>
      <c r="K61" s="91" t="n">
        <f aca="false">'Net Yield Build'!U94</f>
        <v>27.1219331141923</v>
      </c>
    </row>
    <row r="62" customFormat="false" ht="15" hidden="false" customHeight="false" outlineLevel="0" collapsed="false">
      <c r="B62" s="9" t="s">
        <v>611</v>
      </c>
      <c r="J62" s="92" t="n">
        <f aca="false">J61-J59</f>
        <v>-0.000126508000001024</v>
      </c>
      <c r="K62" s="92" t="n">
        <f aca="false">K61-K59</f>
        <v>0.00294090393427737</v>
      </c>
    </row>
    <row r="63" customFormat="false" ht="15" hidden="false" customHeight="false" outlineLevel="0" collapsed="false">
      <c r="B63" s="9" t="s">
        <v>612</v>
      </c>
      <c r="H63" s="123" t="n">
        <v>66500</v>
      </c>
      <c r="I63" s="123" t="n">
        <v>71400</v>
      </c>
      <c r="J63" s="123" t="n">
        <v>75000</v>
      </c>
    </row>
    <row r="64" customFormat="false" ht="15" hidden="false" customHeight="false" outlineLevel="0" collapsed="false">
      <c r="B64" s="9" t="s">
        <v>613</v>
      </c>
      <c r="H64" s="118" t="n">
        <f aca="false">SUMPRODUCT(($F$6:$F$47&lt;=2025)*($G$6:$G$47&gt;2025)*$E$6:$E$47)-SUMPRODUCT(($F$6:$F$47&gt;2024.99)*($F$6:$F$47&lt;=2025)*$E$6:$E$47)</f>
        <v>66554.7765545968</v>
      </c>
      <c r="I64" s="118" t="n">
        <f aca="false">SUMPRODUCT(($F$6:$F$47&lt;=2026)*($G$6:$G$47&gt;2026)*$E$6:$E$47)</f>
        <v>71304.7765545968</v>
      </c>
      <c r="J64" s="118" t="n">
        <f aca="false">SUMPRODUCT(($F$6:$F$47&lt;=2026.5)*($G$6:$G$47&gt;2026.5)*$E$6:$E$47)</f>
        <v>74869.7765545968</v>
      </c>
    </row>
    <row r="66" customFormat="false" ht="15" hidden="false" customHeight="false" outlineLevel="0" collapsed="false">
      <c r="B66" s="9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9" min="4" style="0" width="10"/>
    <col collapsed="false" customWidth="true" hidden="false" outlineLevel="0" max="11" min="10" style="0" width="12"/>
    <col collapsed="false" customWidth="true" hidden="false" outlineLevel="0" max="15" min="12" style="0" width="10"/>
  </cols>
  <sheetData>
    <row r="2" customFormat="false" ht="15" hidden="false" customHeight="false" outlineLevel="0" collapsed="false">
      <c r="B2" s="20" t="s">
        <v>615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customFormat="false" ht="15" hidden="false" customHeight="false" outlineLevel="0" collapsed="false">
      <c r="B3" s="22" t="s">
        <v>616</v>
      </c>
    </row>
    <row r="5" customFormat="false" ht="15" hidden="false" customHeight="false" outlineLevel="0" collapsed="false">
      <c r="B5" s="19" t="s">
        <v>199</v>
      </c>
      <c r="D5" s="23" t="s">
        <v>617</v>
      </c>
      <c r="E5" s="23" t="s">
        <v>618</v>
      </c>
      <c r="F5" s="23" t="s">
        <v>619</v>
      </c>
      <c r="G5" s="23" t="s">
        <v>620</v>
      </c>
      <c r="H5" s="23" t="s">
        <v>621</v>
      </c>
      <c r="I5" s="23" t="s">
        <v>622</v>
      </c>
      <c r="J5" s="23" t="s">
        <v>200</v>
      </c>
      <c r="K5" s="23" t="s">
        <v>201</v>
      </c>
      <c r="L5" s="23" t="s">
        <v>202</v>
      </c>
      <c r="M5" s="23" t="s">
        <v>203</v>
      </c>
      <c r="N5" s="23" t="s">
        <v>204</v>
      </c>
      <c r="O5" s="23" t="s">
        <v>205</v>
      </c>
    </row>
    <row r="6" customFormat="false" ht="15" hidden="false" customHeight="false" outlineLevel="0" collapsed="false">
      <c r="B6" s="9" t="s">
        <v>623</v>
      </c>
      <c r="D6" s="124" t="n">
        <v>2025</v>
      </c>
      <c r="E6" s="124" t="n">
        <v>2025.25</v>
      </c>
      <c r="F6" s="124" t="n">
        <v>2025.5</v>
      </c>
      <c r="G6" s="124" t="n">
        <v>2025.75</v>
      </c>
      <c r="H6" s="124" t="n">
        <v>2026</v>
      </c>
      <c r="I6" s="124" t="n">
        <v>2026.25</v>
      </c>
      <c r="J6" s="124" t="n">
        <v>2026.5</v>
      </c>
      <c r="K6" s="124" t="n">
        <v>2026.75</v>
      </c>
      <c r="L6" s="124" t="n">
        <v>2027</v>
      </c>
      <c r="M6" s="124" t="n">
        <v>2027.25</v>
      </c>
      <c r="N6" s="124" t="n">
        <v>2027.5</v>
      </c>
      <c r="O6" s="124" t="n">
        <v>2027.75</v>
      </c>
    </row>
    <row r="7" customFormat="false" ht="15" hidden="false" customHeight="false" outlineLevel="0" collapsed="false">
      <c r="B7" s="19" t="s">
        <v>624</v>
      </c>
      <c r="D7" s="122" t="n">
        <f aca="false">SUMIFS($K$21:$K$524,$D$21:$D$524,D$5)</f>
        <v>5.92861970508542</v>
      </c>
      <c r="E7" s="122" t="n">
        <f aca="false">SUMIFS($K$21:$K$524,$D$21:$D$524,E$5)</f>
        <v>6.24484944910369</v>
      </c>
      <c r="F7" s="122" t="n">
        <f aca="false">SUMIFS($K$21:$K$524,$D$21:$D$524,F$5)</f>
        <v>6.33036509819034</v>
      </c>
      <c r="G7" s="122" t="n">
        <f aca="false">SUMIFS($K$21:$K$524,$D$21:$D$524,G$5)</f>
        <v>6.35174401046198</v>
      </c>
      <c r="H7" s="122" t="n">
        <f aca="false">SUMIFS($K$21:$K$524,$D$21:$D$524,H$5)</f>
        <v>6.35174401046198</v>
      </c>
      <c r="I7" s="122" t="n">
        <f aca="false">SUMIFS($K$21:$K$524,$D$21:$D$524,I$5)</f>
        <v>6.66930993649723</v>
      </c>
      <c r="J7" s="122" t="n">
        <f aca="false">SUMIFS($K$21:$K$524,$D$21:$D$524,J$5)</f>
        <v>6.66930993649723</v>
      </c>
      <c r="K7" s="122" t="n">
        <f aca="false">SUMIFS($K$21:$K$524,$D$21:$D$524,K$5)</f>
        <v>6.55963611654356</v>
      </c>
      <c r="L7" s="122" t="n">
        <f aca="false">SUMIFS($K$21:$K$524,$D$21:$D$524,L$5)</f>
        <v>6.56401879355932</v>
      </c>
      <c r="M7" s="122" t="n">
        <f aca="false">SUMIFS($K$21:$K$524,$D$21:$D$524,M$5)</f>
        <v>6.67461903304459</v>
      </c>
      <c r="N7" s="122" t="n">
        <f aca="false">SUMIFS($K$21:$K$524,$D$21:$D$524,N$5)</f>
        <v>6.99384182478103</v>
      </c>
      <c r="O7" s="122" t="n">
        <f aca="false">SUMIFS($K$21:$K$524,$D$21:$D$524,O$5)</f>
        <v>6.88651255887312</v>
      </c>
    </row>
    <row r="8" customFormat="false" ht="15" hidden="false" customHeight="false" outlineLevel="0" collapsed="false">
      <c r="B8" s="9" t="s">
        <v>625</v>
      </c>
      <c r="D8" s="92" t="n">
        <f aca="false">SUMIFS($K$21:$K$524,$D$21:$D$524,D$5,$C$21:$C$524,"Norwegian")</f>
        <v>4.99584554978649</v>
      </c>
      <c r="E8" s="92" t="n">
        <f aca="false">SUMIFS($K$21:$K$524,$D$21:$D$524,E$5,$C$21:$C$524,"Norwegian")</f>
        <v>5.31207529380476</v>
      </c>
      <c r="F8" s="92" t="n">
        <f aca="false">SUMIFS($K$21:$K$524,$D$21:$D$524,F$5,$C$21:$C$524,"Norwegian")</f>
        <v>5.31207529380476</v>
      </c>
      <c r="G8" s="92" t="n">
        <f aca="false">SUMIFS($K$21:$K$524,$D$21:$D$524,G$5,$C$21:$C$524,"Norwegian")</f>
        <v>5.31207529380476</v>
      </c>
      <c r="H8" s="92" t="n">
        <f aca="false">SUMIFS($K$21:$K$524,$D$21:$D$524,H$5,$C$21:$C$524,"Norwegian")</f>
        <v>5.31207529380476</v>
      </c>
      <c r="I8" s="92" t="n">
        <f aca="false">SUMIFS($K$21:$K$524,$D$21:$D$524,I$5,$C$21:$C$524,"Norwegian")</f>
        <v>5.62964121984001</v>
      </c>
      <c r="J8" s="92" t="n">
        <f aca="false">SUMIFS($K$21:$K$524,$D$21:$D$524,J$5,$C$21:$C$524,"Norwegian")</f>
        <v>5.62964121984001</v>
      </c>
      <c r="K8" s="92" t="n">
        <f aca="false">SUMIFS($K$21:$K$524,$D$21:$D$524,K$5,$C$21:$C$524,"Norwegian")</f>
        <v>5.50825175596148</v>
      </c>
      <c r="L8" s="92" t="n">
        <f aca="false">SUMIFS($K$21:$K$524,$D$21:$D$524,L$5,$C$21:$C$524,"Norwegian")</f>
        <v>5.45112730237167</v>
      </c>
      <c r="M8" s="92" t="n">
        <f aca="false">SUMIFS($K$21:$K$524,$D$21:$D$524,M$5,$C$21:$C$524,"Norwegian")</f>
        <v>5.56172754185694</v>
      </c>
      <c r="N8" s="92" t="n">
        <f aca="false">SUMIFS($K$21:$K$524,$D$21:$D$524,N$5,$C$21:$C$524,"Norwegian")</f>
        <v>5.79675305076347</v>
      </c>
      <c r="O8" s="92" t="n">
        <f aca="false">SUMIFS($K$21:$K$524,$D$21:$D$524,O$5,$C$21:$C$524,"Norwegian")</f>
        <v>5.67948259064928</v>
      </c>
    </row>
    <row r="9" customFormat="false" ht="15" hidden="false" customHeight="false" outlineLevel="0" collapsed="false">
      <c r="B9" s="9" t="s">
        <v>626</v>
      </c>
      <c r="D9" s="92" t="n">
        <f aca="false">SUMIFS($K$21:$K$524,$D$21:$D$524,D$5,$C$21:$C$524,"Oceania")</f>
        <v>0.567822998209324</v>
      </c>
      <c r="E9" s="92" t="n">
        <f aca="false">SUMIFS($K$21:$K$524,$D$21:$D$524,E$5,$C$21:$C$524,"Oceania")</f>
        <v>0.567822998209324</v>
      </c>
      <c r="F9" s="92" t="n">
        <f aca="false">SUMIFS($K$21:$K$524,$D$21:$D$524,F$5,$C$21:$C$524,"Oceania")</f>
        <v>0.653338647295974</v>
      </c>
      <c r="G9" s="92" t="n">
        <f aca="false">SUMIFS($K$21:$K$524,$D$21:$D$524,G$5,$C$21:$C$524,"Oceania")</f>
        <v>0.674717559567612</v>
      </c>
      <c r="H9" s="92" t="n">
        <f aca="false">SUMIFS($K$21:$K$524,$D$21:$D$524,H$5,$C$21:$C$524,"Oceania")</f>
        <v>0.674717559567612</v>
      </c>
      <c r="I9" s="92" t="n">
        <f aca="false">SUMIFS($K$21:$K$524,$D$21:$D$524,I$5,$C$21:$C$524,"Oceania")</f>
        <v>0.674717559567612</v>
      </c>
      <c r="J9" s="92" t="n">
        <f aca="false">SUMIFS($K$21:$K$524,$D$21:$D$524,J$5,$C$21:$C$524,"Oceania")</f>
        <v>0.674717559567612</v>
      </c>
      <c r="K9" s="92" t="n">
        <f aca="false">SUMIFS($K$21:$K$524,$D$21:$D$524,K$5,$C$21:$C$524,"Oceania")</f>
        <v>0.674717559567612</v>
      </c>
      <c r="L9" s="92" t="n">
        <f aca="false">SUMIFS($K$21:$K$524,$D$21:$D$524,L$5,$C$21:$C$524,"Oceania")</f>
        <v>0.674717559567612</v>
      </c>
      <c r="M9" s="92" t="n">
        <f aca="false">SUMIFS($K$21:$K$524,$D$21:$D$524,M$5,$C$21:$C$524,"Oceania")</f>
        <v>0.674717559567612</v>
      </c>
      <c r="N9" s="92" t="n">
        <f aca="false">SUMIFS($K$21:$K$524,$D$21:$D$524,N$5,$C$21:$C$524,"Oceania")</f>
        <v>0.758914842397526</v>
      </c>
      <c r="O9" s="92" t="n">
        <f aca="false">SUMIFS($K$21:$K$524,$D$21:$D$524,O$5,$C$21:$C$524,"Oceania")</f>
        <v>0.798537093140962</v>
      </c>
    </row>
    <row r="10" customFormat="false" ht="15" hidden="false" customHeight="false" outlineLevel="0" collapsed="false">
      <c r="B10" s="9" t="s">
        <v>627</v>
      </c>
      <c r="D10" s="92" t="n">
        <f aca="false">SUMIFS($K$21:$K$524,$D$21:$D$524,D$5,$C$21:$C$524,"Regent")</f>
        <v>0.364951157089609</v>
      </c>
      <c r="E10" s="92" t="n">
        <f aca="false">SUMIFS($K$21:$K$524,$D$21:$D$524,E$5,$C$21:$C$524,"Regent")</f>
        <v>0.364951157089609</v>
      </c>
      <c r="F10" s="92" t="n">
        <f aca="false">SUMIFS($K$21:$K$524,$D$21:$D$524,F$5,$C$21:$C$524,"Regent")</f>
        <v>0.364951157089609</v>
      </c>
      <c r="G10" s="92" t="n">
        <f aca="false">SUMIFS($K$21:$K$524,$D$21:$D$524,G$5,$C$21:$C$524,"Regent")</f>
        <v>0.364951157089609</v>
      </c>
      <c r="H10" s="92" t="n">
        <f aca="false">SUMIFS($K$21:$K$524,$D$21:$D$524,H$5,$C$21:$C$524,"Regent")</f>
        <v>0.364951157089609</v>
      </c>
      <c r="I10" s="92" t="n">
        <f aca="false">SUMIFS($K$21:$K$524,$D$21:$D$524,I$5,$C$21:$C$524,"Regent")</f>
        <v>0.364951157089609</v>
      </c>
      <c r="J10" s="92" t="n">
        <f aca="false">SUMIFS($K$21:$K$524,$D$21:$D$524,J$5,$C$21:$C$524,"Regent")</f>
        <v>0.364951157089609</v>
      </c>
      <c r="K10" s="92" t="n">
        <f aca="false">SUMIFS($K$21:$K$524,$D$21:$D$524,K$5,$C$21:$C$524,"Regent")</f>
        <v>0.376666801014467</v>
      </c>
      <c r="L10" s="92" t="n">
        <f aca="false">SUMIFS($K$21:$K$524,$D$21:$D$524,L$5,$C$21:$C$524,"Regent")</f>
        <v>0.438173931620036</v>
      </c>
      <c r="M10" s="92" t="n">
        <f aca="false">SUMIFS($K$21:$K$524,$D$21:$D$524,M$5,$C$21:$C$524,"Regent")</f>
        <v>0.438173931620036</v>
      </c>
      <c r="N10" s="92" t="n">
        <f aca="false">SUMIFS($K$21:$K$524,$D$21:$D$524,N$5,$C$21:$C$524,"Regent")</f>
        <v>0.438173931620036</v>
      </c>
      <c r="O10" s="92" t="n">
        <f aca="false">SUMIFS($K$21:$K$524,$D$21:$D$524,O$5,$C$21:$C$524,"Regent")</f>
        <v>0.408492875082872</v>
      </c>
    </row>
    <row r="11" customFormat="false" ht="15" hidden="false" customHeight="false" outlineLevel="0" collapsed="false">
      <c r="B11" s="9" t="s">
        <v>628</v>
      </c>
      <c r="D11" s="11" t="n">
        <f aca="false">(D9+D10)/D7</f>
        <v>0.157334118513087</v>
      </c>
      <c r="E11" s="11" t="n">
        <f aca="false">(E9+E10)/E7</f>
        <v>0.149366956385604</v>
      </c>
      <c r="F11" s="11" t="n">
        <f aca="false">(F9+F10)/F7</f>
        <v>0.160857989798516</v>
      </c>
      <c r="G11" s="11" t="n">
        <f aca="false">(G9+G10)/G7</f>
        <v>0.163682402021363</v>
      </c>
      <c r="H11" s="11" t="n">
        <f aca="false">(H9+H10)/H7</f>
        <v>0.163682402021363</v>
      </c>
      <c r="I11" s="11" t="n">
        <f aca="false">(I9+I10)/I7</f>
        <v>0.155888499193556</v>
      </c>
      <c r="J11" s="11" t="n">
        <f aca="false">(J9+J10)/J7</f>
        <v>0.155888499193556</v>
      </c>
      <c r="K11" s="11" t="n">
        <f aca="false">(K9+K10)/K7</f>
        <v>0.160280896973913</v>
      </c>
      <c r="L11" s="11" t="n">
        <f aca="false">(L9+L10)/L7</f>
        <v>0.169544226820257</v>
      </c>
      <c r="M11" s="11" t="n">
        <f aca="false">(M9+M10)/M7</f>
        <v>0.166734833205905</v>
      </c>
      <c r="N11" s="11" t="n">
        <f aca="false">(N9+N10)/N7</f>
        <v>0.171163261052882</v>
      </c>
      <c r="O11" s="11" t="n">
        <f aca="false">(O9+O10)/O7</f>
        <v>0.175274488778591</v>
      </c>
    </row>
    <row r="12" customFormat="false" ht="15" hidden="false" customHeight="false" outlineLevel="0" collapsed="false">
      <c r="B12" s="19" t="s">
        <v>609</v>
      </c>
      <c r="H12" s="88" t="n">
        <f aca="false">H7/D7-1</f>
        <v>0.0713697835962748</v>
      </c>
      <c r="I12" s="88" t="n">
        <f aca="false">I7/E7-1</f>
        <v>0.0679696909994296</v>
      </c>
      <c r="J12" s="88" t="n">
        <f aca="false">J7/F7-1</f>
        <v>0.053542699836346</v>
      </c>
      <c r="K12" s="88" t="n">
        <f aca="false">K7/G7-1</f>
        <v>0.0327299251574309</v>
      </c>
      <c r="L12" s="88" t="n">
        <f aca="false">L7/H7-1</f>
        <v>0.0334199210087331</v>
      </c>
      <c r="M12" s="88" t="n">
        <f aca="false">M7/I7-1</f>
        <v>0.000796048856315235</v>
      </c>
      <c r="N12" s="88" t="n">
        <f aca="false">N7/J7-1</f>
        <v>0.0486604898218668</v>
      </c>
      <c r="O12" s="88" t="n">
        <f aca="false">O7/K7-1</f>
        <v>0.049831490119576</v>
      </c>
    </row>
    <row r="13" customFormat="false" ht="15" hidden="false" customHeight="false" outlineLevel="0" collapsed="false">
      <c r="B13" s="9" t="s">
        <v>629</v>
      </c>
      <c r="D13" s="91" t="n">
        <f aca="false">'Quarterly (A)'!E29</f>
        <v>5.7006</v>
      </c>
      <c r="E13" s="91" t="n">
        <f aca="false">'Quarterly (A)'!F29</f>
        <v>6.0523</v>
      </c>
      <c r="F13" s="91" t="n">
        <f aca="false">'Quarterly (A)'!G29</f>
        <v>6.4176</v>
      </c>
      <c r="G13" s="91" t="n">
        <f aca="false">'Quarterly (A)'!H29</f>
        <v>6.2631</v>
      </c>
      <c r="H13" s="91" t="n">
        <f aca="false">'Quarterly (A)'!I29</f>
        <v>6.393</v>
      </c>
      <c r="I13" s="91" t="n">
        <f aca="false">'Quarterly (A)'!J29</f>
        <v>6.5897</v>
      </c>
    </row>
    <row r="15" customFormat="false" ht="15" hidden="false" customHeight="false" outlineLevel="0" collapsed="false">
      <c r="B15" s="19" t="s">
        <v>630</v>
      </c>
      <c r="D15" s="92" t="n">
        <f aca="false">SUM(L7:O7)</f>
        <v>27.1189922102581</v>
      </c>
      <c r="E15" s="91" t="n">
        <f aca="false">'Net Yield Build'!U94</f>
        <v>27.1219331141923</v>
      </c>
      <c r="F15" s="22" t="s">
        <v>631</v>
      </c>
    </row>
    <row r="20" customFormat="false" ht="35.05" hidden="false" customHeight="false" outlineLevel="0" collapsed="false">
      <c r="B20" s="29" t="s">
        <v>524</v>
      </c>
      <c r="C20" s="29" t="s">
        <v>525</v>
      </c>
      <c r="D20" s="29" t="s">
        <v>199</v>
      </c>
      <c r="E20" s="29" t="s">
        <v>632</v>
      </c>
      <c r="F20" s="29" t="s">
        <v>633</v>
      </c>
      <c r="G20" s="29" t="s">
        <v>527</v>
      </c>
      <c r="H20" s="29" t="s">
        <v>528</v>
      </c>
      <c r="I20" s="29" t="s">
        <v>529</v>
      </c>
      <c r="J20" s="29" t="s">
        <v>634</v>
      </c>
      <c r="K20" s="29" t="s">
        <v>270</v>
      </c>
    </row>
    <row r="21" customFormat="false" ht="15" hidden="false" customHeight="false" outlineLevel="0" collapsed="false">
      <c r="B21" s="125" t="str">
        <f aca="false">'Fleet Build'!B6</f>
        <v>Norwegian Aura</v>
      </c>
      <c r="C21" s="125" t="str">
        <f aca="false">'Fleet Build'!C6</f>
        <v>Norwegian</v>
      </c>
      <c r="D21" s="9" t="s">
        <v>617</v>
      </c>
      <c r="E21" s="111" t="n">
        <f aca="false">D$6</f>
        <v>2025</v>
      </c>
      <c r="F21" s="111" t="n">
        <f aca="false">E21+0.25</f>
        <v>2025.25</v>
      </c>
      <c r="G21" s="126" t="n">
        <f aca="false">'Fleet Build'!E6</f>
        <v>3880</v>
      </c>
      <c r="H21" s="127" t="n">
        <f aca="false">'Fleet Build'!F6</f>
        <v>2027.42</v>
      </c>
      <c r="I21" s="127" t="n">
        <f aca="false">'Fleet Build'!G6</f>
        <v>2099</v>
      </c>
      <c r="J21" s="128" t="n">
        <f aca="false">MAX(0,MIN(F21,I21)-MAX(E21,H21))</f>
        <v>0</v>
      </c>
      <c r="K21" s="129" t="n">
        <f aca="false">G21*J21*'Fleet Build'!$K$58/1000000</f>
        <v>0</v>
      </c>
    </row>
    <row r="22" customFormat="false" ht="15" hidden="false" customHeight="false" outlineLevel="0" collapsed="false">
      <c r="B22" s="125" t="str">
        <f aca="false">'Fleet Build'!B6</f>
        <v>Norwegian Aura</v>
      </c>
      <c r="C22" s="125" t="str">
        <f aca="false">'Fleet Build'!C6</f>
        <v>Norwegian</v>
      </c>
      <c r="D22" s="9" t="s">
        <v>618</v>
      </c>
      <c r="E22" s="111" t="n">
        <f aca="false">E$6</f>
        <v>2025.25</v>
      </c>
      <c r="F22" s="111" t="n">
        <f aca="false">E22+0.25</f>
        <v>2025.5</v>
      </c>
      <c r="G22" s="126" t="n">
        <f aca="false">'Fleet Build'!E6</f>
        <v>3880</v>
      </c>
      <c r="H22" s="127" t="n">
        <f aca="false">'Fleet Build'!F6</f>
        <v>2027.42</v>
      </c>
      <c r="I22" s="127" t="n">
        <f aca="false">'Fleet Build'!G6</f>
        <v>2099</v>
      </c>
      <c r="J22" s="128" t="n">
        <f aca="false">MAX(0,MIN(F22,I22)-MAX(E22,H22))</f>
        <v>0</v>
      </c>
      <c r="K22" s="129" t="n">
        <f aca="false">G22*J22*'Fleet Build'!$K$58/1000000</f>
        <v>0</v>
      </c>
    </row>
    <row r="23" customFormat="false" ht="15" hidden="false" customHeight="false" outlineLevel="0" collapsed="false">
      <c r="B23" s="125" t="str">
        <f aca="false">'Fleet Build'!B6</f>
        <v>Norwegian Aura</v>
      </c>
      <c r="C23" s="125" t="str">
        <f aca="false">'Fleet Build'!C6</f>
        <v>Norwegian</v>
      </c>
      <c r="D23" s="9" t="s">
        <v>619</v>
      </c>
      <c r="E23" s="111" t="n">
        <f aca="false">F$6</f>
        <v>2025.5</v>
      </c>
      <c r="F23" s="111" t="n">
        <f aca="false">E23+0.25</f>
        <v>2025.75</v>
      </c>
      <c r="G23" s="126" t="n">
        <f aca="false">'Fleet Build'!E6</f>
        <v>3880</v>
      </c>
      <c r="H23" s="127" t="n">
        <f aca="false">'Fleet Build'!F6</f>
        <v>2027.42</v>
      </c>
      <c r="I23" s="127" t="n">
        <f aca="false">'Fleet Build'!G6</f>
        <v>2099</v>
      </c>
      <c r="J23" s="128" t="n">
        <f aca="false">MAX(0,MIN(F23,I23)-MAX(E23,H23))</f>
        <v>0</v>
      </c>
      <c r="K23" s="129" t="n">
        <f aca="false">G23*J23*'Fleet Build'!$K$58/1000000</f>
        <v>0</v>
      </c>
    </row>
    <row r="24" customFormat="false" ht="15" hidden="false" customHeight="false" outlineLevel="0" collapsed="false">
      <c r="B24" s="125" t="str">
        <f aca="false">'Fleet Build'!B6</f>
        <v>Norwegian Aura</v>
      </c>
      <c r="C24" s="125" t="str">
        <f aca="false">'Fleet Build'!C6</f>
        <v>Norwegian</v>
      </c>
      <c r="D24" s="9" t="s">
        <v>620</v>
      </c>
      <c r="E24" s="111" t="n">
        <f aca="false">G$6</f>
        <v>2025.75</v>
      </c>
      <c r="F24" s="111" t="n">
        <f aca="false">E24+0.25</f>
        <v>2026</v>
      </c>
      <c r="G24" s="126" t="n">
        <f aca="false">'Fleet Build'!E6</f>
        <v>3880</v>
      </c>
      <c r="H24" s="127" t="n">
        <f aca="false">'Fleet Build'!F6</f>
        <v>2027.42</v>
      </c>
      <c r="I24" s="127" t="n">
        <f aca="false">'Fleet Build'!G6</f>
        <v>2099</v>
      </c>
      <c r="J24" s="128" t="n">
        <f aca="false">MAX(0,MIN(F24,I24)-MAX(E24,H24))</f>
        <v>0</v>
      </c>
      <c r="K24" s="129" t="n">
        <f aca="false">G24*J24*'Fleet Build'!$K$58/1000000</f>
        <v>0</v>
      </c>
    </row>
    <row r="25" customFormat="false" ht="15" hidden="false" customHeight="false" outlineLevel="0" collapsed="false">
      <c r="B25" s="125" t="str">
        <f aca="false">'Fleet Build'!B6</f>
        <v>Norwegian Aura</v>
      </c>
      <c r="C25" s="125" t="str">
        <f aca="false">'Fleet Build'!C6</f>
        <v>Norwegian</v>
      </c>
      <c r="D25" s="9" t="s">
        <v>621</v>
      </c>
      <c r="E25" s="111" t="n">
        <f aca="false">H$6</f>
        <v>2026</v>
      </c>
      <c r="F25" s="111" t="n">
        <f aca="false">E25+0.25</f>
        <v>2026.25</v>
      </c>
      <c r="G25" s="126" t="n">
        <f aca="false">'Fleet Build'!E6</f>
        <v>3880</v>
      </c>
      <c r="H25" s="127" t="n">
        <f aca="false">'Fleet Build'!F6</f>
        <v>2027.42</v>
      </c>
      <c r="I25" s="127" t="n">
        <f aca="false">'Fleet Build'!G6</f>
        <v>2099</v>
      </c>
      <c r="J25" s="128" t="n">
        <f aca="false">MAX(0,MIN(F25,I25)-MAX(E25,H25))</f>
        <v>0</v>
      </c>
      <c r="K25" s="129" t="n">
        <f aca="false">G25*J25*'Fleet Build'!$K$58/1000000</f>
        <v>0</v>
      </c>
    </row>
    <row r="26" customFormat="false" ht="15" hidden="false" customHeight="false" outlineLevel="0" collapsed="false">
      <c r="B26" s="125" t="str">
        <f aca="false">'Fleet Build'!B6</f>
        <v>Norwegian Aura</v>
      </c>
      <c r="C26" s="125" t="str">
        <f aca="false">'Fleet Build'!C6</f>
        <v>Norwegian</v>
      </c>
      <c r="D26" s="9" t="s">
        <v>622</v>
      </c>
      <c r="E26" s="111" t="n">
        <f aca="false">I$6</f>
        <v>2026.25</v>
      </c>
      <c r="F26" s="111" t="n">
        <f aca="false">E26+0.25</f>
        <v>2026.5</v>
      </c>
      <c r="G26" s="126" t="n">
        <f aca="false">'Fleet Build'!E6</f>
        <v>3880</v>
      </c>
      <c r="H26" s="127" t="n">
        <f aca="false">'Fleet Build'!F6</f>
        <v>2027.42</v>
      </c>
      <c r="I26" s="127" t="n">
        <f aca="false">'Fleet Build'!G6</f>
        <v>2099</v>
      </c>
      <c r="J26" s="128" t="n">
        <f aca="false">MAX(0,MIN(F26,I26)-MAX(E26,H26))</f>
        <v>0</v>
      </c>
      <c r="K26" s="129" t="n">
        <f aca="false">G26*J26*'Fleet Build'!$K$58/1000000</f>
        <v>0</v>
      </c>
    </row>
    <row r="27" customFormat="false" ht="15" hidden="false" customHeight="false" outlineLevel="0" collapsed="false">
      <c r="B27" s="125" t="str">
        <f aca="false">'Fleet Build'!B6</f>
        <v>Norwegian Aura</v>
      </c>
      <c r="C27" s="125" t="str">
        <f aca="false">'Fleet Build'!C6</f>
        <v>Norwegian</v>
      </c>
      <c r="D27" s="9" t="s">
        <v>200</v>
      </c>
      <c r="E27" s="111" t="n">
        <f aca="false">J$6</f>
        <v>2026.5</v>
      </c>
      <c r="F27" s="111" t="n">
        <f aca="false">E27+0.25</f>
        <v>2026.75</v>
      </c>
      <c r="G27" s="126" t="n">
        <f aca="false">'Fleet Build'!E6</f>
        <v>3880</v>
      </c>
      <c r="H27" s="127" t="n">
        <f aca="false">'Fleet Build'!F6</f>
        <v>2027.42</v>
      </c>
      <c r="I27" s="127" t="n">
        <f aca="false">'Fleet Build'!G6</f>
        <v>2099</v>
      </c>
      <c r="J27" s="128" t="n">
        <f aca="false">MAX(0,MIN(F27,I27)-MAX(E27,H27))</f>
        <v>0</v>
      </c>
      <c r="K27" s="129" t="n">
        <f aca="false">G27*J27*'Fleet Build'!$K$58/1000000</f>
        <v>0</v>
      </c>
    </row>
    <row r="28" customFormat="false" ht="15" hidden="false" customHeight="false" outlineLevel="0" collapsed="false">
      <c r="B28" s="125" t="str">
        <f aca="false">'Fleet Build'!B6</f>
        <v>Norwegian Aura</v>
      </c>
      <c r="C28" s="125" t="str">
        <f aca="false">'Fleet Build'!C6</f>
        <v>Norwegian</v>
      </c>
      <c r="D28" s="9" t="s">
        <v>201</v>
      </c>
      <c r="E28" s="111" t="n">
        <f aca="false">K$6</f>
        <v>2026.75</v>
      </c>
      <c r="F28" s="111" t="n">
        <f aca="false">E28+0.25</f>
        <v>2027</v>
      </c>
      <c r="G28" s="126" t="n">
        <f aca="false">'Fleet Build'!E6</f>
        <v>3880</v>
      </c>
      <c r="H28" s="127" t="n">
        <f aca="false">'Fleet Build'!F6</f>
        <v>2027.42</v>
      </c>
      <c r="I28" s="127" t="n">
        <f aca="false">'Fleet Build'!G6</f>
        <v>2099</v>
      </c>
      <c r="J28" s="128" t="n">
        <f aca="false">MAX(0,MIN(F28,I28)-MAX(E28,H28))</f>
        <v>0</v>
      </c>
      <c r="K28" s="129" t="n">
        <f aca="false">G28*J28*'Fleet Build'!$K$58/1000000</f>
        <v>0</v>
      </c>
    </row>
    <row r="29" customFormat="false" ht="15" hidden="false" customHeight="false" outlineLevel="0" collapsed="false">
      <c r="B29" s="125" t="str">
        <f aca="false">'Fleet Build'!B6</f>
        <v>Norwegian Aura</v>
      </c>
      <c r="C29" s="125" t="str">
        <f aca="false">'Fleet Build'!C6</f>
        <v>Norwegian</v>
      </c>
      <c r="D29" s="9" t="s">
        <v>202</v>
      </c>
      <c r="E29" s="111" t="n">
        <f aca="false">L$6</f>
        <v>2027</v>
      </c>
      <c r="F29" s="111" t="n">
        <f aca="false">E29+0.25</f>
        <v>2027.25</v>
      </c>
      <c r="G29" s="126" t="n">
        <f aca="false">'Fleet Build'!E6</f>
        <v>3880</v>
      </c>
      <c r="H29" s="127" t="n">
        <f aca="false">'Fleet Build'!F6</f>
        <v>2027.42</v>
      </c>
      <c r="I29" s="127" t="n">
        <f aca="false">'Fleet Build'!G6</f>
        <v>2099</v>
      </c>
      <c r="J29" s="128" t="n">
        <f aca="false">MAX(0,MIN(F29,I29)-MAX(E29,H29))</f>
        <v>0</v>
      </c>
      <c r="K29" s="129" t="n">
        <f aca="false">G29*J29*'Fleet Build'!$K$58/1000000</f>
        <v>0</v>
      </c>
    </row>
    <row r="30" customFormat="false" ht="15" hidden="false" customHeight="false" outlineLevel="0" collapsed="false">
      <c r="B30" s="125" t="str">
        <f aca="false">'Fleet Build'!B6</f>
        <v>Norwegian Aura</v>
      </c>
      <c r="C30" s="125" t="str">
        <f aca="false">'Fleet Build'!C6</f>
        <v>Norwegian</v>
      </c>
      <c r="D30" s="9" t="s">
        <v>203</v>
      </c>
      <c r="E30" s="111" t="n">
        <f aca="false">M$6</f>
        <v>2027.25</v>
      </c>
      <c r="F30" s="111" t="n">
        <f aca="false">E30+0.25</f>
        <v>2027.5</v>
      </c>
      <c r="G30" s="126" t="n">
        <f aca="false">'Fleet Build'!E6</f>
        <v>3880</v>
      </c>
      <c r="H30" s="127" t="n">
        <f aca="false">'Fleet Build'!F6</f>
        <v>2027.42</v>
      </c>
      <c r="I30" s="127" t="n">
        <f aca="false">'Fleet Build'!G6</f>
        <v>2099</v>
      </c>
      <c r="J30" s="128" t="n">
        <f aca="false">MAX(0,MIN(F30,I30)-MAX(E30,H30))</f>
        <v>0.0799999999999272</v>
      </c>
      <c r="K30" s="129" t="n">
        <f aca="false">G30*J30*'Fleet Build'!$K$58/1000000</f>
        <v>0.110600239485275</v>
      </c>
    </row>
    <row r="31" customFormat="false" ht="15" hidden="false" customHeight="false" outlineLevel="0" collapsed="false">
      <c r="B31" s="125" t="str">
        <f aca="false">'Fleet Build'!B6</f>
        <v>Norwegian Aura</v>
      </c>
      <c r="C31" s="125" t="str">
        <f aca="false">'Fleet Build'!C6</f>
        <v>Norwegian</v>
      </c>
      <c r="D31" s="9" t="s">
        <v>204</v>
      </c>
      <c r="E31" s="111" t="n">
        <f aca="false">N$6</f>
        <v>2027.5</v>
      </c>
      <c r="F31" s="111" t="n">
        <f aca="false">E31+0.25</f>
        <v>2027.75</v>
      </c>
      <c r="G31" s="126" t="n">
        <f aca="false">'Fleet Build'!E6</f>
        <v>3880</v>
      </c>
      <c r="H31" s="127" t="n">
        <f aca="false">'Fleet Build'!F6</f>
        <v>2027.42</v>
      </c>
      <c r="I31" s="127" t="n">
        <f aca="false">'Fleet Build'!G6</f>
        <v>2099</v>
      </c>
      <c r="J31" s="128" t="n">
        <f aca="false">MAX(0,MIN(F31,I31)-MAX(E31,H31))</f>
        <v>0.25</v>
      </c>
      <c r="K31" s="129" t="n">
        <f aca="false">G31*J31*'Fleet Build'!$K$58/1000000</f>
        <v>0.345625748391798</v>
      </c>
    </row>
    <row r="32" customFormat="false" ht="15" hidden="false" customHeight="false" outlineLevel="0" collapsed="false">
      <c r="B32" s="125" t="str">
        <f aca="false">'Fleet Build'!B6</f>
        <v>Norwegian Aura</v>
      </c>
      <c r="C32" s="125" t="str">
        <f aca="false">'Fleet Build'!C6</f>
        <v>Norwegian</v>
      </c>
      <c r="D32" s="9" t="s">
        <v>205</v>
      </c>
      <c r="E32" s="111" t="n">
        <f aca="false">O$6</f>
        <v>2027.75</v>
      </c>
      <c r="F32" s="111" t="n">
        <f aca="false">E32+0.25</f>
        <v>2028</v>
      </c>
      <c r="G32" s="126" t="n">
        <f aca="false">'Fleet Build'!E6</f>
        <v>3880</v>
      </c>
      <c r="H32" s="127" t="n">
        <f aca="false">'Fleet Build'!F6</f>
        <v>2027.42</v>
      </c>
      <c r="I32" s="127" t="n">
        <f aca="false">'Fleet Build'!G6</f>
        <v>2099</v>
      </c>
      <c r="J32" s="128" t="n">
        <f aca="false">MAX(0,MIN(F32,I32)-MAX(E32,H32))</f>
        <v>0.25</v>
      </c>
      <c r="K32" s="129" t="n">
        <f aca="false">G32*J32*'Fleet Build'!$K$58/1000000</f>
        <v>0.345625748391798</v>
      </c>
    </row>
    <row r="33" customFormat="false" ht="15" hidden="false" customHeight="false" outlineLevel="0" collapsed="false">
      <c r="B33" s="125" t="str">
        <f aca="false">'Fleet Build'!B7</f>
        <v>Norwegian Prima Plus #6</v>
      </c>
      <c r="C33" s="125" t="str">
        <f aca="false">'Fleet Build'!C7</f>
        <v>Norwegian</v>
      </c>
      <c r="D33" s="9" t="s">
        <v>617</v>
      </c>
      <c r="E33" s="111" t="n">
        <f aca="false">D$6</f>
        <v>2025</v>
      </c>
      <c r="F33" s="111" t="n">
        <f aca="false">E33+0.25</f>
        <v>2025.25</v>
      </c>
      <c r="G33" s="126" t="n">
        <f aca="false">'Fleet Build'!E7</f>
        <v>3880</v>
      </c>
      <c r="H33" s="127" t="n">
        <f aca="false">'Fleet Build'!F7</f>
        <v>2028.5</v>
      </c>
      <c r="I33" s="127" t="n">
        <f aca="false">'Fleet Build'!G7</f>
        <v>2099</v>
      </c>
      <c r="J33" s="128" t="n">
        <f aca="false">MAX(0,MIN(F33,I33)-MAX(E33,H33))</f>
        <v>0</v>
      </c>
      <c r="K33" s="129" t="n">
        <f aca="false">G33*J33*'Fleet Build'!$K$58/1000000</f>
        <v>0</v>
      </c>
    </row>
    <row r="34" customFormat="false" ht="15" hidden="false" customHeight="false" outlineLevel="0" collapsed="false">
      <c r="B34" s="125" t="str">
        <f aca="false">'Fleet Build'!B7</f>
        <v>Norwegian Prima Plus #6</v>
      </c>
      <c r="C34" s="125" t="str">
        <f aca="false">'Fleet Build'!C7</f>
        <v>Norwegian</v>
      </c>
      <c r="D34" s="9" t="s">
        <v>618</v>
      </c>
      <c r="E34" s="111" t="n">
        <f aca="false">E$6</f>
        <v>2025.25</v>
      </c>
      <c r="F34" s="111" t="n">
        <f aca="false">E34+0.25</f>
        <v>2025.5</v>
      </c>
      <c r="G34" s="126" t="n">
        <f aca="false">'Fleet Build'!E7</f>
        <v>3880</v>
      </c>
      <c r="H34" s="127" t="n">
        <f aca="false">'Fleet Build'!F7</f>
        <v>2028.5</v>
      </c>
      <c r="I34" s="127" t="n">
        <f aca="false">'Fleet Build'!G7</f>
        <v>2099</v>
      </c>
      <c r="J34" s="128" t="n">
        <f aca="false">MAX(0,MIN(F34,I34)-MAX(E34,H34))</f>
        <v>0</v>
      </c>
      <c r="K34" s="129" t="n">
        <f aca="false">G34*J34*'Fleet Build'!$K$58/1000000</f>
        <v>0</v>
      </c>
    </row>
    <row r="35" customFormat="false" ht="15" hidden="false" customHeight="false" outlineLevel="0" collapsed="false">
      <c r="B35" s="125" t="str">
        <f aca="false">'Fleet Build'!B7</f>
        <v>Norwegian Prima Plus #6</v>
      </c>
      <c r="C35" s="125" t="str">
        <f aca="false">'Fleet Build'!C7</f>
        <v>Norwegian</v>
      </c>
      <c r="D35" s="9" t="s">
        <v>619</v>
      </c>
      <c r="E35" s="111" t="n">
        <f aca="false">F$6</f>
        <v>2025.5</v>
      </c>
      <c r="F35" s="111" t="n">
        <f aca="false">E35+0.25</f>
        <v>2025.75</v>
      </c>
      <c r="G35" s="126" t="n">
        <f aca="false">'Fleet Build'!E7</f>
        <v>3880</v>
      </c>
      <c r="H35" s="127" t="n">
        <f aca="false">'Fleet Build'!F7</f>
        <v>2028.5</v>
      </c>
      <c r="I35" s="127" t="n">
        <f aca="false">'Fleet Build'!G7</f>
        <v>2099</v>
      </c>
      <c r="J35" s="128" t="n">
        <f aca="false">MAX(0,MIN(F35,I35)-MAX(E35,H35))</f>
        <v>0</v>
      </c>
      <c r="K35" s="129" t="n">
        <f aca="false">G35*J35*'Fleet Build'!$K$58/1000000</f>
        <v>0</v>
      </c>
    </row>
    <row r="36" customFormat="false" ht="15" hidden="false" customHeight="false" outlineLevel="0" collapsed="false">
      <c r="B36" s="125" t="str">
        <f aca="false">'Fleet Build'!B7</f>
        <v>Norwegian Prima Plus #6</v>
      </c>
      <c r="C36" s="125" t="str">
        <f aca="false">'Fleet Build'!C7</f>
        <v>Norwegian</v>
      </c>
      <c r="D36" s="9" t="s">
        <v>620</v>
      </c>
      <c r="E36" s="111" t="n">
        <f aca="false">G$6</f>
        <v>2025.75</v>
      </c>
      <c r="F36" s="111" t="n">
        <f aca="false">E36+0.25</f>
        <v>2026</v>
      </c>
      <c r="G36" s="126" t="n">
        <f aca="false">'Fleet Build'!E7</f>
        <v>3880</v>
      </c>
      <c r="H36" s="127" t="n">
        <f aca="false">'Fleet Build'!F7</f>
        <v>2028.5</v>
      </c>
      <c r="I36" s="127" t="n">
        <f aca="false">'Fleet Build'!G7</f>
        <v>2099</v>
      </c>
      <c r="J36" s="128" t="n">
        <f aca="false">MAX(0,MIN(F36,I36)-MAX(E36,H36))</f>
        <v>0</v>
      </c>
      <c r="K36" s="129" t="n">
        <f aca="false">G36*J36*'Fleet Build'!$K$58/1000000</f>
        <v>0</v>
      </c>
    </row>
    <row r="37" customFormat="false" ht="15" hidden="false" customHeight="false" outlineLevel="0" collapsed="false">
      <c r="B37" s="125" t="str">
        <f aca="false">'Fleet Build'!B7</f>
        <v>Norwegian Prima Plus #6</v>
      </c>
      <c r="C37" s="125" t="str">
        <f aca="false">'Fleet Build'!C7</f>
        <v>Norwegian</v>
      </c>
      <c r="D37" s="9" t="s">
        <v>621</v>
      </c>
      <c r="E37" s="111" t="n">
        <f aca="false">H$6</f>
        <v>2026</v>
      </c>
      <c r="F37" s="111" t="n">
        <f aca="false">E37+0.25</f>
        <v>2026.25</v>
      </c>
      <c r="G37" s="126" t="n">
        <f aca="false">'Fleet Build'!E7</f>
        <v>3880</v>
      </c>
      <c r="H37" s="127" t="n">
        <f aca="false">'Fleet Build'!F7</f>
        <v>2028.5</v>
      </c>
      <c r="I37" s="127" t="n">
        <f aca="false">'Fleet Build'!G7</f>
        <v>2099</v>
      </c>
      <c r="J37" s="128" t="n">
        <f aca="false">MAX(0,MIN(F37,I37)-MAX(E37,H37))</f>
        <v>0</v>
      </c>
      <c r="K37" s="129" t="n">
        <f aca="false">G37*J37*'Fleet Build'!$K$58/1000000</f>
        <v>0</v>
      </c>
    </row>
    <row r="38" customFormat="false" ht="15" hidden="false" customHeight="false" outlineLevel="0" collapsed="false">
      <c r="B38" s="125" t="str">
        <f aca="false">'Fleet Build'!B7</f>
        <v>Norwegian Prima Plus #6</v>
      </c>
      <c r="C38" s="125" t="str">
        <f aca="false">'Fleet Build'!C7</f>
        <v>Norwegian</v>
      </c>
      <c r="D38" s="9" t="s">
        <v>622</v>
      </c>
      <c r="E38" s="111" t="n">
        <f aca="false">I$6</f>
        <v>2026.25</v>
      </c>
      <c r="F38" s="111" t="n">
        <f aca="false">E38+0.25</f>
        <v>2026.5</v>
      </c>
      <c r="G38" s="126" t="n">
        <f aca="false">'Fleet Build'!E7</f>
        <v>3880</v>
      </c>
      <c r="H38" s="127" t="n">
        <f aca="false">'Fleet Build'!F7</f>
        <v>2028.5</v>
      </c>
      <c r="I38" s="127" t="n">
        <f aca="false">'Fleet Build'!G7</f>
        <v>2099</v>
      </c>
      <c r="J38" s="128" t="n">
        <f aca="false">MAX(0,MIN(F38,I38)-MAX(E38,H38))</f>
        <v>0</v>
      </c>
      <c r="K38" s="129" t="n">
        <f aca="false">G38*J38*'Fleet Build'!$K$58/1000000</f>
        <v>0</v>
      </c>
    </row>
    <row r="39" customFormat="false" ht="15" hidden="false" customHeight="false" outlineLevel="0" collapsed="false">
      <c r="B39" s="125" t="str">
        <f aca="false">'Fleet Build'!B7</f>
        <v>Norwegian Prima Plus #6</v>
      </c>
      <c r="C39" s="125" t="str">
        <f aca="false">'Fleet Build'!C7</f>
        <v>Norwegian</v>
      </c>
      <c r="D39" s="9" t="s">
        <v>200</v>
      </c>
      <c r="E39" s="111" t="n">
        <f aca="false">J$6</f>
        <v>2026.5</v>
      </c>
      <c r="F39" s="111" t="n">
        <f aca="false">E39+0.25</f>
        <v>2026.75</v>
      </c>
      <c r="G39" s="126" t="n">
        <f aca="false">'Fleet Build'!E7</f>
        <v>3880</v>
      </c>
      <c r="H39" s="127" t="n">
        <f aca="false">'Fleet Build'!F7</f>
        <v>2028.5</v>
      </c>
      <c r="I39" s="127" t="n">
        <f aca="false">'Fleet Build'!G7</f>
        <v>2099</v>
      </c>
      <c r="J39" s="128" t="n">
        <f aca="false">MAX(0,MIN(F39,I39)-MAX(E39,H39))</f>
        <v>0</v>
      </c>
      <c r="K39" s="129" t="n">
        <f aca="false">G39*J39*'Fleet Build'!$K$58/1000000</f>
        <v>0</v>
      </c>
    </row>
    <row r="40" customFormat="false" ht="15" hidden="false" customHeight="false" outlineLevel="0" collapsed="false">
      <c r="B40" s="125" t="str">
        <f aca="false">'Fleet Build'!B7</f>
        <v>Norwegian Prima Plus #6</v>
      </c>
      <c r="C40" s="125" t="str">
        <f aca="false">'Fleet Build'!C7</f>
        <v>Norwegian</v>
      </c>
      <c r="D40" s="9" t="s">
        <v>201</v>
      </c>
      <c r="E40" s="111" t="n">
        <f aca="false">K$6</f>
        <v>2026.75</v>
      </c>
      <c r="F40" s="111" t="n">
        <f aca="false">E40+0.25</f>
        <v>2027</v>
      </c>
      <c r="G40" s="126" t="n">
        <f aca="false">'Fleet Build'!E7</f>
        <v>3880</v>
      </c>
      <c r="H40" s="127" t="n">
        <f aca="false">'Fleet Build'!F7</f>
        <v>2028.5</v>
      </c>
      <c r="I40" s="127" t="n">
        <f aca="false">'Fleet Build'!G7</f>
        <v>2099</v>
      </c>
      <c r="J40" s="128" t="n">
        <f aca="false">MAX(0,MIN(F40,I40)-MAX(E40,H40))</f>
        <v>0</v>
      </c>
      <c r="K40" s="129" t="n">
        <f aca="false">G40*J40*'Fleet Build'!$K$58/1000000</f>
        <v>0</v>
      </c>
    </row>
    <row r="41" customFormat="false" ht="15" hidden="false" customHeight="false" outlineLevel="0" collapsed="false">
      <c r="B41" s="125" t="str">
        <f aca="false">'Fleet Build'!B7</f>
        <v>Norwegian Prima Plus #6</v>
      </c>
      <c r="C41" s="125" t="str">
        <f aca="false">'Fleet Build'!C7</f>
        <v>Norwegian</v>
      </c>
      <c r="D41" s="9" t="s">
        <v>202</v>
      </c>
      <c r="E41" s="111" t="n">
        <f aca="false">L$6</f>
        <v>2027</v>
      </c>
      <c r="F41" s="111" t="n">
        <f aca="false">E41+0.25</f>
        <v>2027.25</v>
      </c>
      <c r="G41" s="126" t="n">
        <f aca="false">'Fleet Build'!E7</f>
        <v>3880</v>
      </c>
      <c r="H41" s="127" t="n">
        <f aca="false">'Fleet Build'!F7</f>
        <v>2028.5</v>
      </c>
      <c r="I41" s="127" t="n">
        <f aca="false">'Fleet Build'!G7</f>
        <v>2099</v>
      </c>
      <c r="J41" s="128" t="n">
        <f aca="false">MAX(0,MIN(F41,I41)-MAX(E41,H41))</f>
        <v>0</v>
      </c>
      <c r="K41" s="129" t="n">
        <f aca="false">G41*J41*'Fleet Build'!$K$58/1000000</f>
        <v>0</v>
      </c>
    </row>
    <row r="42" customFormat="false" ht="15" hidden="false" customHeight="false" outlineLevel="0" collapsed="false">
      <c r="B42" s="125" t="str">
        <f aca="false">'Fleet Build'!B7</f>
        <v>Norwegian Prima Plus #6</v>
      </c>
      <c r="C42" s="125" t="str">
        <f aca="false">'Fleet Build'!C7</f>
        <v>Norwegian</v>
      </c>
      <c r="D42" s="9" t="s">
        <v>203</v>
      </c>
      <c r="E42" s="111" t="n">
        <f aca="false">M$6</f>
        <v>2027.25</v>
      </c>
      <c r="F42" s="111" t="n">
        <f aca="false">E42+0.25</f>
        <v>2027.5</v>
      </c>
      <c r="G42" s="126" t="n">
        <f aca="false">'Fleet Build'!E7</f>
        <v>3880</v>
      </c>
      <c r="H42" s="127" t="n">
        <f aca="false">'Fleet Build'!F7</f>
        <v>2028.5</v>
      </c>
      <c r="I42" s="127" t="n">
        <f aca="false">'Fleet Build'!G7</f>
        <v>2099</v>
      </c>
      <c r="J42" s="128" t="n">
        <f aca="false">MAX(0,MIN(F42,I42)-MAX(E42,H42))</f>
        <v>0</v>
      </c>
      <c r="K42" s="129" t="n">
        <f aca="false">G42*J42*'Fleet Build'!$K$58/1000000</f>
        <v>0</v>
      </c>
    </row>
    <row r="43" customFormat="false" ht="15" hidden="false" customHeight="false" outlineLevel="0" collapsed="false">
      <c r="B43" s="125" t="str">
        <f aca="false">'Fleet Build'!B7</f>
        <v>Norwegian Prima Plus #6</v>
      </c>
      <c r="C43" s="125" t="str">
        <f aca="false">'Fleet Build'!C7</f>
        <v>Norwegian</v>
      </c>
      <c r="D43" s="9" t="s">
        <v>204</v>
      </c>
      <c r="E43" s="111" t="n">
        <f aca="false">N$6</f>
        <v>2027.5</v>
      </c>
      <c r="F43" s="111" t="n">
        <f aca="false">E43+0.25</f>
        <v>2027.75</v>
      </c>
      <c r="G43" s="126" t="n">
        <f aca="false">'Fleet Build'!E7</f>
        <v>3880</v>
      </c>
      <c r="H43" s="127" t="n">
        <f aca="false">'Fleet Build'!F7</f>
        <v>2028.5</v>
      </c>
      <c r="I43" s="127" t="n">
        <f aca="false">'Fleet Build'!G7</f>
        <v>2099</v>
      </c>
      <c r="J43" s="128" t="n">
        <f aca="false">MAX(0,MIN(F43,I43)-MAX(E43,H43))</f>
        <v>0</v>
      </c>
      <c r="K43" s="129" t="n">
        <f aca="false">G43*J43*'Fleet Build'!$K$58/1000000</f>
        <v>0</v>
      </c>
    </row>
    <row r="44" customFormat="false" ht="15" hidden="false" customHeight="false" outlineLevel="0" collapsed="false">
      <c r="B44" s="125" t="str">
        <f aca="false">'Fleet Build'!B7</f>
        <v>Norwegian Prima Plus #6</v>
      </c>
      <c r="C44" s="125" t="str">
        <f aca="false">'Fleet Build'!C7</f>
        <v>Norwegian</v>
      </c>
      <c r="D44" s="9" t="s">
        <v>205</v>
      </c>
      <c r="E44" s="111" t="n">
        <f aca="false">O$6</f>
        <v>2027.75</v>
      </c>
      <c r="F44" s="111" t="n">
        <f aca="false">E44+0.25</f>
        <v>2028</v>
      </c>
      <c r="G44" s="126" t="n">
        <f aca="false">'Fleet Build'!E7</f>
        <v>3880</v>
      </c>
      <c r="H44" s="127" t="n">
        <f aca="false">'Fleet Build'!F7</f>
        <v>2028.5</v>
      </c>
      <c r="I44" s="127" t="n">
        <f aca="false">'Fleet Build'!G7</f>
        <v>2099</v>
      </c>
      <c r="J44" s="128" t="n">
        <f aca="false">MAX(0,MIN(F44,I44)-MAX(E44,H44))</f>
        <v>0</v>
      </c>
      <c r="K44" s="129" t="n">
        <f aca="false">G44*J44*'Fleet Build'!$K$58/1000000</f>
        <v>0</v>
      </c>
    </row>
    <row r="45" customFormat="false" ht="15" hidden="false" customHeight="false" outlineLevel="0" collapsed="false">
      <c r="B45" s="125" t="str">
        <f aca="false">'Fleet Build'!B8</f>
        <v>Norwegian Luna</v>
      </c>
      <c r="C45" s="125" t="str">
        <f aca="false">'Fleet Build'!C8</f>
        <v>Norwegian</v>
      </c>
      <c r="D45" s="9" t="s">
        <v>617</v>
      </c>
      <c r="E45" s="111" t="n">
        <f aca="false">D$6</f>
        <v>2025</v>
      </c>
      <c r="F45" s="111" t="n">
        <f aca="false">E45+0.25</f>
        <v>2025.25</v>
      </c>
      <c r="G45" s="126" t="n">
        <f aca="false">'Fleet Build'!E8</f>
        <v>3565</v>
      </c>
      <c r="H45" s="127" t="n">
        <f aca="false">'Fleet Build'!F8</f>
        <v>2026.25</v>
      </c>
      <c r="I45" s="127" t="n">
        <f aca="false">'Fleet Build'!G8</f>
        <v>2099</v>
      </c>
      <c r="J45" s="128" t="n">
        <f aca="false">MAX(0,MIN(F45,I45)-MAX(E45,H45))</f>
        <v>0</v>
      </c>
      <c r="K45" s="129" t="n">
        <f aca="false">G45*J45*'Fleet Build'!$K$58/1000000</f>
        <v>0</v>
      </c>
    </row>
    <row r="46" customFormat="false" ht="15" hidden="false" customHeight="false" outlineLevel="0" collapsed="false">
      <c r="B46" s="125" t="str">
        <f aca="false">'Fleet Build'!B8</f>
        <v>Norwegian Luna</v>
      </c>
      <c r="C46" s="125" t="str">
        <f aca="false">'Fleet Build'!C8</f>
        <v>Norwegian</v>
      </c>
      <c r="D46" s="9" t="s">
        <v>618</v>
      </c>
      <c r="E46" s="111" t="n">
        <f aca="false">E$6</f>
        <v>2025.25</v>
      </c>
      <c r="F46" s="111" t="n">
        <f aca="false">E46+0.25</f>
        <v>2025.5</v>
      </c>
      <c r="G46" s="126" t="n">
        <f aca="false">'Fleet Build'!E8</f>
        <v>3565</v>
      </c>
      <c r="H46" s="127" t="n">
        <f aca="false">'Fleet Build'!F8</f>
        <v>2026.25</v>
      </c>
      <c r="I46" s="127" t="n">
        <f aca="false">'Fleet Build'!G8</f>
        <v>2099</v>
      </c>
      <c r="J46" s="128" t="n">
        <f aca="false">MAX(0,MIN(F46,I46)-MAX(E46,H46))</f>
        <v>0</v>
      </c>
      <c r="K46" s="129" t="n">
        <f aca="false">G46*J46*'Fleet Build'!$K$58/1000000</f>
        <v>0</v>
      </c>
    </row>
    <row r="47" customFormat="false" ht="15" hidden="false" customHeight="false" outlineLevel="0" collapsed="false">
      <c r="B47" s="125" t="str">
        <f aca="false">'Fleet Build'!B8</f>
        <v>Norwegian Luna</v>
      </c>
      <c r="C47" s="125" t="str">
        <f aca="false">'Fleet Build'!C8</f>
        <v>Norwegian</v>
      </c>
      <c r="D47" s="9" t="s">
        <v>619</v>
      </c>
      <c r="E47" s="111" t="n">
        <f aca="false">F$6</f>
        <v>2025.5</v>
      </c>
      <c r="F47" s="111" t="n">
        <f aca="false">E47+0.25</f>
        <v>2025.75</v>
      </c>
      <c r="G47" s="126" t="n">
        <f aca="false">'Fleet Build'!E8</f>
        <v>3565</v>
      </c>
      <c r="H47" s="127" t="n">
        <f aca="false">'Fleet Build'!F8</f>
        <v>2026.25</v>
      </c>
      <c r="I47" s="127" t="n">
        <f aca="false">'Fleet Build'!G8</f>
        <v>2099</v>
      </c>
      <c r="J47" s="128" t="n">
        <f aca="false">MAX(0,MIN(F47,I47)-MAX(E47,H47))</f>
        <v>0</v>
      </c>
      <c r="K47" s="129" t="n">
        <f aca="false">G47*J47*'Fleet Build'!$K$58/1000000</f>
        <v>0</v>
      </c>
    </row>
    <row r="48" customFormat="false" ht="15" hidden="false" customHeight="false" outlineLevel="0" collapsed="false">
      <c r="B48" s="125" t="str">
        <f aca="false">'Fleet Build'!B8</f>
        <v>Norwegian Luna</v>
      </c>
      <c r="C48" s="125" t="str">
        <f aca="false">'Fleet Build'!C8</f>
        <v>Norwegian</v>
      </c>
      <c r="D48" s="9" t="s">
        <v>620</v>
      </c>
      <c r="E48" s="111" t="n">
        <f aca="false">G$6</f>
        <v>2025.75</v>
      </c>
      <c r="F48" s="111" t="n">
        <f aca="false">E48+0.25</f>
        <v>2026</v>
      </c>
      <c r="G48" s="126" t="n">
        <f aca="false">'Fleet Build'!E8</f>
        <v>3565</v>
      </c>
      <c r="H48" s="127" t="n">
        <f aca="false">'Fleet Build'!F8</f>
        <v>2026.25</v>
      </c>
      <c r="I48" s="127" t="n">
        <f aca="false">'Fleet Build'!G8</f>
        <v>2099</v>
      </c>
      <c r="J48" s="128" t="n">
        <f aca="false">MAX(0,MIN(F48,I48)-MAX(E48,H48))</f>
        <v>0</v>
      </c>
      <c r="K48" s="129" t="n">
        <f aca="false">G48*J48*'Fleet Build'!$K$58/1000000</f>
        <v>0</v>
      </c>
    </row>
    <row r="49" customFormat="false" ht="15" hidden="false" customHeight="false" outlineLevel="0" collapsed="false">
      <c r="B49" s="125" t="str">
        <f aca="false">'Fleet Build'!B8</f>
        <v>Norwegian Luna</v>
      </c>
      <c r="C49" s="125" t="str">
        <f aca="false">'Fleet Build'!C8</f>
        <v>Norwegian</v>
      </c>
      <c r="D49" s="9" t="s">
        <v>621</v>
      </c>
      <c r="E49" s="111" t="n">
        <f aca="false">H$6</f>
        <v>2026</v>
      </c>
      <c r="F49" s="111" t="n">
        <f aca="false">E49+0.25</f>
        <v>2026.25</v>
      </c>
      <c r="G49" s="126" t="n">
        <f aca="false">'Fleet Build'!E8</f>
        <v>3565</v>
      </c>
      <c r="H49" s="127" t="n">
        <f aca="false">'Fleet Build'!F8</f>
        <v>2026.25</v>
      </c>
      <c r="I49" s="127" t="n">
        <f aca="false">'Fleet Build'!G8</f>
        <v>2099</v>
      </c>
      <c r="J49" s="128" t="n">
        <f aca="false">MAX(0,MIN(F49,I49)-MAX(E49,H49))</f>
        <v>0</v>
      </c>
      <c r="K49" s="129" t="n">
        <f aca="false">G49*J49*'Fleet Build'!$K$58/1000000</f>
        <v>0</v>
      </c>
    </row>
    <row r="50" customFormat="false" ht="15" hidden="false" customHeight="false" outlineLevel="0" collapsed="false">
      <c r="B50" s="125" t="str">
        <f aca="false">'Fleet Build'!B8</f>
        <v>Norwegian Luna</v>
      </c>
      <c r="C50" s="125" t="str">
        <f aca="false">'Fleet Build'!C8</f>
        <v>Norwegian</v>
      </c>
      <c r="D50" s="9" t="s">
        <v>622</v>
      </c>
      <c r="E50" s="111" t="n">
        <f aca="false">I$6</f>
        <v>2026.25</v>
      </c>
      <c r="F50" s="111" t="n">
        <f aca="false">E50+0.25</f>
        <v>2026.5</v>
      </c>
      <c r="G50" s="126" t="n">
        <f aca="false">'Fleet Build'!E8</f>
        <v>3565</v>
      </c>
      <c r="H50" s="127" t="n">
        <f aca="false">'Fleet Build'!F8</f>
        <v>2026.25</v>
      </c>
      <c r="I50" s="127" t="n">
        <f aca="false">'Fleet Build'!G8</f>
        <v>2099</v>
      </c>
      <c r="J50" s="128" t="n">
        <f aca="false">MAX(0,MIN(F50,I50)-MAX(E50,H50))</f>
        <v>0.25</v>
      </c>
      <c r="K50" s="129" t="n">
        <f aca="false">G50*J50*'Fleet Build'!$K$58/1000000</f>
        <v>0.317565926035248</v>
      </c>
    </row>
    <row r="51" customFormat="false" ht="15" hidden="false" customHeight="false" outlineLevel="0" collapsed="false">
      <c r="B51" s="125" t="str">
        <f aca="false">'Fleet Build'!B8</f>
        <v>Norwegian Luna</v>
      </c>
      <c r="C51" s="125" t="str">
        <f aca="false">'Fleet Build'!C8</f>
        <v>Norwegian</v>
      </c>
      <c r="D51" s="9" t="s">
        <v>200</v>
      </c>
      <c r="E51" s="111" t="n">
        <f aca="false">J$6</f>
        <v>2026.5</v>
      </c>
      <c r="F51" s="111" t="n">
        <f aca="false">E51+0.25</f>
        <v>2026.75</v>
      </c>
      <c r="G51" s="126" t="n">
        <f aca="false">'Fleet Build'!E8</f>
        <v>3565</v>
      </c>
      <c r="H51" s="127" t="n">
        <f aca="false">'Fleet Build'!F8</f>
        <v>2026.25</v>
      </c>
      <c r="I51" s="127" t="n">
        <f aca="false">'Fleet Build'!G8</f>
        <v>2099</v>
      </c>
      <c r="J51" s="128" t="n">
        <f aca="false">MAX(0,MIN(F51,I51)-MAX(E51,H51))</f>
        <v>0.25</v>
      </c>
      <c r="K51" s="129" t="n">
        <f aca="false">G51*J51*'Fleet Build'!$K$58/1000000</f>
        <v>0.317565926035248</v>
      </c>
    </row>
    <row r="52" customFormat="false" ht="15" hidden="false" customHeight="false" outlineLevel="0" collapsed="false">
      <c r="B52" s="125" t="str">
        <f aca="false">'Fleet Build'!B8</f>
        <v>Norwegian Luna</v>
      </c>
      <c r="C52" s="125" t="str">
        <f aca="false">'Fleet Build'!C8</f>
        <v>Norwegian</v>
      </c>
      <c r="D52" s="9" t="s">
        <v>201</v>
      </c>
      <c r="E52" s="111" t="n">
        <f aca="false">K$6</f>
        <v>2026.75</v>
      </c>
      <c r="F52" s="111" t="n">
        <f aca="false">E52+0.25</f>
        <v>2027</v>
      </c>
      <c r="G52" s="126" t="n">
        <f aca="false">'Fleet Build'!E8</f>
        <v>3565</v>
      </c>
      <c r="H52" s="127" t="n">
        <f aca="false">'Fleet Build'!F8</f>
        <v>2026.25</v>
      </c>
      <c r="I52" s="127" t="n">
        <f aca="false">'Fleet Build'!G8</f>
        <v>2099</v>
      </c>
      <c r="J52" s="128" t="n">
        <f aca="false">MAX(0,MIN(F52,I52)-MAX(E52,H52))</f>
        <v>0.25</v>
      </c>
      <c r="K52" s="129" t="n">
        <f aca="false">G52*J52*'Fleet Build'!$K$58/1000000</f>
        <v>0.317565926035248</v>
      </c>
    </row>
    <row r="53" customFormat="false" ht="15" hidden="false" customHeight="false" outlineLevel="0" collapsed="false">
      <c r="B53" s="125" t="str">
        <f aca="false">'Fleet Build'!B8</f>
        <v>Norwegian Luna</v>
      </c>
      <c r="C53" s="125" t="str">
        <f aca="false">'Fleet Build'!C8</f>
        <v>Norwegian</v>
      </c>
      <c r="D53" s="9" t="s">
        <v>202</v>
      </c>
      <c r="E53" s="111" t="n">
        <f aca="false">L$6</f>
        <v>2027</v>
      </c>
      <c r="F53" s="111" t="n">
        <f aca="false">E53+0.25</f>
        <v>2027.25</v>
      </c>
      <c r="G53" s="126" t="n">
        <f aca="false">'Fleet Build'!E8</f>
        <v>3565</v>
      </c>
      <c r="H53" s="127" t="n">
        <f aca="false">'Fleet Build'!F8</f>
        <v>2026.25</v>
      </c>
      <c r="I53" s="127" t="n">
        <f aca="false">'Fleet Build'!G8</f>
        <v>2099</v>
      </c>
      <c r="J53" s="128" t="n">
        <f aca="false">MAX(0,MIN(F53,I53)-MAX(E53,H53))</f>
        <v>0.25</v>
      </c>
      <c r="K53" s="129" t="n">
        <f aca="false">G53*J53*'Fleet Build'!$K$58/1000000</f>
        <v>0.317565926035248</v>
      </c>
    </row>
    <row r="54" customFormat="false" ht="15" hidden="false" customHeight="false" outlineLevel="0" collapsed="false">
      <c r="B54" s="125" t="str">
        <f aca="false">'Fleet Build'!B8</f>
        <v>Norwegian Luna</v>
      </c>
      <c r="C54" s="125" t="str">
        <f aca="false">'Fleet Build'!C8</f>
        <v>Norwegian</v>
      </c>
      <c r="D54" s="9" t="s">
        <v>203</v>
      </c>
      <c r="E54" s="111" t="n">
        <f aca="false">M$6</f>
        <v>2027.25</v>
      </c>
      <c r="F54" s="111" t="n">
        <f aca="false">E54+0.25</f>
        <v>2027.5</v>
      </c>
      <c r="G54" s="126" t="n">
        <f aca="false">'Fleet Build'!E8</f>
        <v>3565</v>
      </c>
      <c r="H54" s="127" t="n">
        <f aca="false">'Fleet Build'!F8</f>
        <v>2026.25</v>
      </c>
      <c r="I54" s="127" t="n">
        <f aca="false">'Fleet Build'!G8</f>
        <v>2099</v>
      </c>
      <c r="J54" s="128" t="n">
        <f aca="false">MAX(0,MIN(F54,I54)-MAX(E54,H54))</f>
        <v>0.25</v>
      </c>
      <c r="K54" s="129" t="n">
        <f aca="false">G54*J54*'Fleet Build'!$K$58/1000000</f>
        <v>0.317565926035248</v>
      </c>
    </row>
    <row r="55" customFormat="false" ht="15" hidden="false" customHeight="false" outlineLevel="0" collapsed="false">
      <c r="B55" s="125" t="str">
        <f aca="false">'Fleet Build'!B8</f>
        <v>Norwegian Luna</v>
      </c>
      <c r="C55" s="125" t="str">
        <f aca="false">'Fleet Build'!C8</f>
        <v>Norwegian</v>
      </c>
      <c r="D55" s="9" t="s">
        <v>204</v>
      </c>
      <c r="E55" s="111" t="n">
        <f aca="false">N$6</f>
        <v>2027.5</v>
      </c>
      <c r="F55" s="111" t="n">
        <f aca="false">E55+0.25</f>
        <v>2027.75</v>
      </c>
      <c r="G55" s="126" t="n">
        <f aca="false">'Fleet Build'!E8</f>
        <v>3565</v>
      </c>
      <c r="H55" s="127" t="n">
        <f aca="false">'Fleet Build'!F8</f>
        <v>2026.25</v>
      </c>
      <c r="I55" s="127" t="n">
        <f aca="false">'Fleet Build'!G8</f>
        <v>2099</v>
      </c>
      <c r="J55" s="128" t="n">
        <f aca="false">MAX(0,MIN(F55,I55)-MAX(E55,H55))</f>
        <v>0.25</v>
      </c>
      <c r="K55" s="129" t="n">
        <f aca="false">G55*J55*'Fleet Build'!$K$58/1000000</f>
        <v>0.317565926035248</v>
      </c>
    </row>
    <row r="56" customFormat="false" ht="15" hidden="false" customHeight="false" outlineLevel="0" collapsed="false">
      <c r="B56" s="125" t="str">
        <f aca="false">'Fleet Build'!B8</f>
        <v>Norwegian Luna</v>
      </c>
      <c r="C56" s="125" t="str">
        <f aca="false">'Fleet Build'!C8</f>
        <v>Norwegian</v>
      </c>
      <c r="D56" s="9" t="s">
        <v>205</v>
      </c>
      <c r="E56" s="111" t="n">
        <f aca="false">O$6</f>
        <v>2027.75</v>
      </c>
      <c r="F56" s="111" t="n">
        <f aca="false">E56+0.25</f>
        <v>2028</v>
      </c>
      <c r="G56" s="126" t="n">
        <f aca="false">'Fleet Build'!E8</f>
        <v>3565</v>
      </c>
      <c r="H56" s="127" t="n">
        <f aca="false">'Fleet Build'!F8</f>
        <v>2026.25</v>
      </c>
      <c r="I56" s="127" t="n">
        <f aca="false">'Fleet Build'!G8</f>
        <v>2099</v>
      </c>
      <c r="J56" s="128" t="n">
        <f aca="false">MAX(0,MIN(F56,I56)-MAX(E56,H56))</f>
        <v>0.25</v>
      </c>
      <c r="K56" s="129" t="n">
        <f aca="false">G56*J56*'Fleet Build'!$K$58/1000000</f>
        <v>0.317565926035248</v>
      </c>
    </row>
    <row r="57" customFormat="false" ht="15" hidden="false" customHeight="false" outlineLevel="0" collapsed="false">
      <c r="B57" s="125" t="str">
        <f aca="false">'Fleet Build'!B9</f>
        <v>Norwegian Aqua</v>
      </c>
      <c r="C57" s="125" t="str">
        <f aca="false">'Fleet Build'!C9</f>
        <v>Norwegian</v>
      </c>
      <c r="D57" s="9" t="s">
        <v>617</v>
      </c>
      <c r="E57" s="111" t="n">
        <f aca="false">D$6</f>
        <v>2025</v>
      </c>
      <c r="F57" s="111" t="n">
        <f aca="false">E57+0.25</f>
        <v>2025.25</v>
      </c>
      <c r="G57" s="126" t="n">
        <f aca="false">'Fleet Build'!E9</f>
        <v>3550</v>
      </c>
      <c r="H57" s="127" t="n">
        <f aca="false">'Fleet Build'!F9</f>
        <v>2025.25</v>
      </c>
      <c r="I57" s="127" t="n">
        <f aca="false">'Fleet Build'!G9</f>
        <v>2099</v>
      </c>
      <c r="J57" s="128" t="n">
        <f aca="false">MAX(0,MIN(F57,I57)-MAX(E57,H57))</f>
        <v>0</v>
      </c>
      <c r="K57" s="129" t="n">
        <f aca="false">G57*J57*'Fleet Build'!$K$58/1000000</f>
        <v>0</v>
      </c>
    </row>
    <row r="58" customFormat="false" ht="15" hidden="false" customHeight="false" outlineLevel="0" collapsed="false">
      <c r="B58" s="125" t="str">
        <f aca="false">'Fleet Build'!B9</f>
        <v>Norwegian Aqua</v>
      </c>
      <c r="C58" s="125" t="str">
        <f aca="false">'Fleet Build'!C9</f>
        <v>Norwegian</v>
      </c>
      <c r="D58" s="9" t="s">
        <v>618</v>
      </c>
      <c r="E58" s="111" t="n">
        <f aca="false">E$6</f>
        <v>2025.25</v>
      </c>
      <c r="F58" s="111" t="n">
        <f aca="false">E58+0.25</f>
        <v>2025.5</v>
      </c>
      <c r="G58" s="126" t="n">
        <f aca="false">'Fleet Build'!E9</f>
        <v>3550</v>
      </c>
      <c r="H58" s="127" t="n">
        <f aca="false">'Fleet Build'!F9</f>
        <v>2025.25</v>
      </c>
      <c r="I58" s="127" t="n">
        <f aca="false">'Fleet Build'!G9</f>
        <v>2099</v>
      </c>
      <c r="J58" s="128" t="n">
        <f aca="false">MAX(0,MIN(F58,I58)-MAX(E58,H58))</f>
        <v>0.25</v>
      </c>
      <c r="K58" s="129" t="n">
        <f aca="false">G58*J58*'Fleet Build'!$K$58/1000000</f>
        <v>0.316229744018269</v>
      </c>
    </row>
    <row r="59" customFormat="false" ht="15" hidden="false" customHeight="false" outlineLevel="0" collapsed="false">
      <c r="B59" s="125" t="str">
        <f aca="false">'Fleet Build'!B9</f>
        <v>Norwegian Aqua</v>
      </c>
      <c r="C59" s="125" t="str">
        <f aca="false">'Fleet Build'!C9</f>
        <v>Norwegian</v>
      </c>
      <c r="D59" s="9" t="s">
        <v>619</v>
      </c>
      <c r="E59" s="111" t="n">
        <f aca="false">F$6</f>
        <v>2025.5</v>
      </c>
      <c r="F59" s="111" t="n">
        <f aca="false">E59+0.25</f>
        <v>2025.75</v>
      </c>
      <c r="G59" s="126" t="n">
        <f aca="false">'Fleet Build'!E9</f>
        <v>3550</v>
      </c>
      <c r="H59" s="127" t="n">
        <f aca="false">'Fleet Build'!F9</f>
        <v>2025.25</v>
      </c>
      <c r="I59" s="127" t="n">
        <f aca="false">'Fleet Build'!G9</f>
        <v>2099</v>
      </c>
      <c r="J59" s="128" t="n">
        <f aca="false">MAX(0,MIN(F59,I59)-MAX(E59,H59))</f>
        <v>0.25</v>
      </c>
      <c r="K59" s="129" t="n">
        <f aca="false">G59*J59*'Fleet Build'!$K$58/1000000</f>
        <v>0.316229744018269</v>
      </c>
    </row>
    <row r="60" customFormat="false" ht="15" hidden="false" customHeight="false" outlineLevel="0" collapsed="false">
      <c r="B60" s="125" t="str">
        <f aca="false">'Fleet Build'!B9</f>
        <v>Norwegian Aqua</v>
      </c>
      <c r="C60" s="125" t="str">
        <f aca="false">'Fleet Build'!C9</f>
        <v>Norwegian</v>
      </c>
      <c r="D60" s="9" t="s">
        <v>620</v>
      </c>
      <c r="E60" s="111" t="n">
        <f aca="false">G$6</f>
        <v>2025.75</v>
      </c>
      <c r="F60" s="111" t="n">
        <f aca="false">E60+0.25</f>
        <v>2026</v>
      </c>
      <c r="G60" s="126" t="n">
        <f aca="false">'Fleet Build'!E9</f>
        <v>3550</v>
      </c>
      <c r="H60" s="127" t="n">
        <f aca="false">'Fleet Build'!F9</f>
        <v>2025.25</v>
      </c>
      <c r="I60" s="127" t="n">
        <f aca="false">'Fleet Build'!G9</f>
        <v>2099</v>
      </c>
      <c r="J60" s="128" t="n">
        <f aca="false">MAX(0,MIN(F60,I60)-MAX(E60,H60))</f>
        <v>0.25</v>
      </c>
      <c r="K60" s="129" t="n">
        <f aca="false">G60*J60*'Fleet Build'!$K$58/1000000</f>
        <v>0.316229744018269</v>
      </c>
    </row>
    <row r="61" customFormat="false" ht="15" hidden="false" customHeight="false" outlineLevel="0" collapsed="false">
      <c r="B61" s="125" t="str">
        <f aca="false">'Fleet Build'!B9</f>
        <v>Norwegian Aqua</v>
      </c>
      <c r="C61" s="125" t="str">
        <f aca="false">'Fleet Build'!C9</f>
        <v>Norwegian</v>
      </c>
      <c r="D61" s="9" t="s">
        <v>621</v>
      </c>
      <c r="E61" s="111" t="n">
        <f aca="false">H$6</f>
        <v>2026</v>
      </c>
      <c r="F61" s="111" t="n">
        <f aca="false">E61+0.25</f>
        <v>2026.25</v>
      </c>
      <c r="G61" s="126" t="n">
        <f aca="false">'Fleet Build'!E9</f>
        <v>3550</v>
      </c>
      <c r="H61" s="127" t="n">
        <f aca="false">'Fleet Build'!F9</f>
        <v>2025.25</v>
      </c>
      <c r="I61" s="127" t="n">
        <f aca="false">'Fleet Build'!G9</f>
        <v>2099</v>
      </c>
      <c r="J61" s="128" t="n">
        <f aca="false">MAX(0,MIN(F61,I61)-MAX(E61,H61))</f>
        <v>0.25</v>
      </c>
      <c r="K61" s="129" t="n">
        <f aca="false">G61*J61*'Fleet Build'!$K$58/1000000</f>
        <v>0.316229744018269</v>
      </c>
    </row>
    <row r="62" customFormat="false" ht="15" hidden="false" customHeight="false" outlineLevel="0" collapsed="false">
      <c r="B62" s="125" t="str">
        <f aca="false">'Fleet Build'!B9</f>
        <v>Norwegian Aqua</v>
      </c>
      <c r="C62" s="125" t="str">
        <f aca="false">'Fleet Build'!C9</f>
        <v>Norwegian</v>
      </c>
      <c r="D62" s="9" t="s">
        <v>622</v>
      </c>
      <c r="E62" s="111" t="n">
        <f aca="false">I$6</f>
        <v>2026.25</v>
      </c>
      <c r="F62" s="111" t="n">
        <f aca="false">E62+0.25</f>
        <v>2026.5</v>
      </c>
      <c r="G62" s="126" t="n">
        <f aca="false">'Fleet Build'!E9</f>
        <v>3550</v>
      </c>
      <c r="H62" s="127" t="n">
        <f aca="false">'Fleet Build'!F9</f>
        <v>2025.25</v>
      </c>
      <c r="I62" s="127" t="n">
        <f aca="false">'Fleet Build'!G9</f>
        <v>2099</v>
      </c>
      <c r="J62" s="128" t="n">
        <f aca="false">MAX(0,MIN(F62,I62)-MAX(E62,H62))</f>
        <v>0.25</v>
      </c>
      <c r="K62" s="129" t="n">
        <f aca="false">G62*J62*'Fleet Build'!$K$58/1000000</f>
        <v>0.316229744018269</v>
      </c>
    </row>
    <row r="63" customFormat="false" ht="15" hidden="false" customHeight="false" outlineLevel="0" collapsed="false">
      <c r="B63" s="125" t="str">
        <f aca="false">'Fleet Build'!B9</f>
        <v>Norwegian Aqua</v>
      </c>
      <c r="C63" s="125" t="str">
        <f aca="false">'Fleet Build'!C9</f>
        <v>Norwegian</v>
      </c>
      <c r="D63" s="9" t="s">
        <v>200</v>
      </c>
      <c r="E63" s="111" t="n">
        <f aca="false">J$6</f>
        <v>2026.5</v>
      </c>
      <c r="F63" s="111" t="n">
        <f aca="false">E63+0.25</f>
        <v>2026.75</v>
      </c>
      <c r="G63" s="126" t="n">
        <f aca="false">'Fleet Build'!E9</f>
        <v>3550</v>
      </c>
      <c r="H63" s="127" t="n">
        <f aca="false">'Fleet Build'!F9</f>
        <v>2025.25</v>
      </c>
      <c r="I63" s="127" t="n">
        <f aca="false">'Fleet Build'!G9</f>
        <v>2099</v>
      </c>
      <c r="J63" s="128" t="n">
        <f aca="false">MAX(0,MIN(F63,I63)-MAX(E63,H63))</f>
        <v>0.25</v>
      </c>
      <c r="K63" s="129" t="n">
        <f aca="false">G63*J63*'Fleet Build'!$K$58/1000000</f>
        <v>0.316229744018269</v>
      </c>
    </row>
    <row r="64" customFormat="false" ht="15" hidden="false" customHeight="false" outlineLevel="0" collapsed="false">
      <c r="B64" s="125" t="str">
        <f aca="false">'Fleet Build'!B9</f>
        <v>Norwegian Aqua</v>
      </c>
      <c r="C64" s="125" t="str">
        <f aca="false">'Fleet Build'!C9</f>
        <v>Norwegian</v>
      </c>
      <c r="D64" s="9" t="s">
        <v>201</v>
      </c>
      <c r="E64" s="111" t="n">
        <f aca="false">K$6</f>
        <v>2026.75</v>
      </c>
      <c r="F64" s="111" t="n">
        <f aca="false">E64+0.25</f>
        <v>2027</v>
      </c>
      <c r="G64" s="126" t="n">
        <f aca="false">'Fleet Build'!E9</f>
        <v>3550</v>
      </c>
      <c r="H64" s="127" t="n">
        <f aca="false">'Fleet Build'!F9</f>
        <v>2025.25</v>
      </c>
      <c r="I64" s="127" t="n">
        <f aca="false">'Fleet Build'!G9</f>
        <v>2099</v>
      </c>
      <c r="J64" s="128" t="n">
        <f aca="false">MAX(0,MIN(F64,I64)-MAX(E64,H64))</f>
        <v>0.25</v>
      </c>
      <c r="K64" s="129" t="n">
        <f aca="false">G64*J64*'Fleet Build'!$K$58/1000000</f>
        <v>0.316229744018269</v>
      </c>
    </row>
    <row r="65" customFormat="false" ht="15" hidden="false" customHeight="false" outlineLevel="0" collapsed="false">
      <c r="B65" s="125" t="str">
        <f aca="false">'Fleet Build'!B9</f>
        <v>Norwegian Aqua</v>
      </c>
      <c r="C65" s="125" t="str">
        <f aca="false">'Fleet Build'!C9</f>
        <v>Norwegian</v>
      </c>
      <c r="D65" s="9" t="s">
        <v>202</v>
      </c>
      <c r="E65" s="111" t="n">
        <f aca="false">L$6</f>
        <v>2027</v>
      </c>
      <c r="F65" s="111" t="n">
        <f aca="false">E65+0.25</f>
        <v>2027.25</v>
      </c>
      <c r="G65" s="126" t="n">
        <f aca="false">'Fleet Build'!E9</f>
        <v>3550</v>
      </c>
      <c r="H65" s="127" t="n">
        <f aca="false">'Fleet Build'!F9</f>
        <v>2025.25</v>
      </c>
      <c r="I65" s="127" t="n">
        <f aca="false">'Fleet Build'!G9</f>
        <v>2099</v>
      </c>
      <c r="J65" s="128" t="n">
        <f aca="false">MAX(0,MIN(F65,I65)-MAX(E65,H65))</f>
        <v>0.25</v>
      </c>
      <c r="K65" s="129" t="n">
        <f aca="false">G65*J65*'Fleet Build'!$K$58/1000000</f>
        <v>0.316229744018269</v>
      </c>
    </row>
    <row r="66" customFormat="false" ht="15" hidden="false" customHeight="false" outlineLevel="0" collapsed="false">
      <c r="B66" s="125" t="str">
        <f aca="false">'Fleet Build'!B9</f>
        <v>Norwegian Aqua</v>
      </c>
      <c r="C66" s="125" t="str">
        <f aca="false">'Fleet Build'!C9</f>
        <v>Norwegian</v>
      </c>
      <c r="D66" s="9" t="s">
        <v>203</v>
      </c>
      <c r="E66" s="111" t="n">
        <f aca="false">M$6</f>
        <v>2027.25</v>
      </c>
      <c r="F66" s="111" t="n">
        <f aca="false">E66+0.25</f>
        <v>2027.5</v>
      </c>
      <c r="G66" s="126" t="n">
        <f aca="false">'Fleet Build'!E9</f>
        <v>3550</v>
      </c>
      <c r="H66" s="127" t="n">
        <f aca="false">'Fleet Build'!F9</f>
        <v>2025.25</v>
      </c>
      <c r="I66" s="127" t="n">
        <f aca="false">'Fleet Build'!G9</f>
        <v>2099</v>
      </c>
      <c r="J66" s="128" t="n">
        <f aca="false">MAX(0,MIN(F66,I66)-MAX(E66,H66))</f>
        <v>0.25</v>
      </c>
      <c r="K66" s="129" t="n">
        <f aca="false">G66*J66*'Fleet Build'!$K$58/1000000</f>
        <v>0.316229744018269</v>
      </c>
    </row>
    <row r="67" customFormat="false" ht="15" hidden="false" customHeight="false" outlineLevel="0" collapsed="false">
      <c r="B67" s="125" t="str">
        <f aca="false">'Fleet Build'!B9</f>
        <v>Norwegian Aqua</v>
      </c>
      <c r="C67" s="125" t="str">
        <f aca="false">'Fleet Build'!C9</f>
        <v>Norwegian</v>
      </c>
      <c r="D67" s="9" t="s">
        <v>204</v>
      </c>
      <c r="E67" s="111" t="n">
        <f aca="false">N$6</f>
        <v>2027.5</v>
      </c>
      <c r="F67" s="111" t="n">
        <f aca="false">E67+0.25</f>
        <v>2027.75</v>
      </c>
      <c r="G67" s="126" t="n">
        <f aca="false">'Fleet Build'!E9</f>
        <v>3550</v>
      </c>
      <c r="H67" s="127" t="n">
        <f aca="false">'Fleet Build'!F9</f>
        <v>2025.25</v>
      </c>
      <c r="I67" s="127" t="n">
        <f aca="false">'Fleet Build'!G9</f>
        <v>2099</v>
      </c>
      <c r="J67" s="128" t="n">
        <f aca="false">MAX(0,MIN(F67,I67)-MAX(E67,H67))</f>
        <v>0.25</v>
      </c>
      <c r="K67" s="129" t="n">
        <f aca="false">G67*J67*'Fleet Build'!$K$58/1000000</f>
        <v>0.316229744018269</v>
      </c>
    </row>
    <row r="68" customFormat="false" ht="15" hidden="false" customHeight="false" outlineLevel="0" collapsed="false">
      <c r="B68" s="125" t="str">
        <f aca="false">'Fleet Build'!B9</f>
        <v>Norwegian Aqua</v>
      </c>
      <c r="C68" s="125" t="str">
        <f aca="false">'Fleet Build'!C9</f>
        <v>Norwegian</v>
      </c>
      <c r="D68" s="9" t="s">
        <v>205</v>
      </c>
      <c r="E68" s="111" t="n">
        <f aca="false">O$6</f>
        <v>2027.75</v>
      </c>
      <c r="F68" s="111" t="n">
        <f aca="false">E68+0.25</f>
        <v>2028</v>
      </c>
      <c r="G68" s="126" t="n">
        <f aca="false">'Fleet Build'!E9</f>
        <v>3550</v>
      </c>
      <c r="H68" s="127" t="n">
        <f aca="false">'Fleet Build'!F9</f>
        <v>2025.25</v>
      </c>
      <c r="I68" s="127" t="n">
        <f aca="false">'Fleet Build'!G9</f>
        <v>2099</v>
      </c>
      <c r="J68" s="128" t="n">
        <f aca="false">MAX(0,MIN(F68,I68)-MAX(E68,H68))</f>
        <v>0.25</v>
      </c>
      <c r="K68" s="129" t="n">
        <f aca="false">G68*J68*'Fleet Build'!$K$58/1000000</f>
        <v>0.316229744018269</v>
      </c>
    </row>
    <row r="69" customFormat="false" ht="15" hidden="false" customHeight="false" outlineLevel="0" collapsed="false">
      <c r="B69" s="125" t="str">
        <f aca="false">'Fleet Build'!B10</f>
        <v>Norwegian Viva</v>
      </c>
      <c r="C69" s="125" t="str">
        <f aca="false">'Fleet Build'!C10</f>
        <v>Norwegian</v>
      </c>
      <c r="D69" s="9" t="s">
        <v>617</v>
      </c>
      <c r="E69" s="111" t="n">
        <f aca="false">D$6</f>
        <v>2025</v>
      </c>
      <c r="F69" s="111" t="n">
        <f aca="false">E69+0.25</f>
        <v>2025.25</v>
      </c>
      <c r="G69" s="126" t="n">
        <f aca="false">'Fleet Build'!E10</f>
        <v>3065.80630764653</v>
      </c>
      <c r="H69" s="127" t="n">
        <f aca="false">'Fleet Build'!F10</f>
        <v>2000</v>
      </c>
      <c r="I69" s="127" t="n">
        <f aca="false">'Fleet Build'!G10</f>
        <v>2099</v>
      </c>
      <c r="J69" s="128" t="n">
        <f aca="false">MAX(0,MIN(F69,I69)-MAX(E69,H69))</f>
        <v>0.25</v>
      </c>
      <c r="K69" s="129" t="n">
        <f aca="false">G69*J69*'Fleet Build'!$K$58/1000000</f>
        <v>0.273098350387791</v>
      </c>
    </row>
    <row r="70" customFormat="false" ht="15" hidden="false" customHeight="false" outlineLevel="0" collapsed="false">
      <c r="B70" s="125" t="str">
        <f aca="false">'Fleet Build'!B10</f>
        <v>Norwegian Viva</v>
      </c>
      <c r="C70" s="125" t="str">
        <f aca="false">'Fleet Build'!C10</f>
        <v>Norwegian</v>
      </c>
      <c r="D70" s="9" t="s">
        <v>618</v>
      </c>
      <c r="E70" s="111" t="n">
        <f aca="false">E$6</f>
        <v>2025.25</v>
      </c>
      <c r="F70" s="111" t="n">
        <f aca="false">E70+0.25</f>
        <v>2025.5</v>
      </c>
      <c r="G70" s="126" t="n">
        <f aca="false">'Fleet Build'!E10</f>
        <v>3065.80630764653</v>
      </c>
      <c r="H70" s="127" t="n">
        <f aca="false">'Fleet Build'!F10</f>
        <v>2000</v>
      </c>
      <c r="I70" s="127" t="n">
        <f aca="false">'Fleet Build'!G10</f>
        <v>2099</v>
      </c>
      <c r="J70" s="128" t="n">
        <f aca="false">MAX(0,MIN(F70,I70)-MAX(E70,H70))</f>
        <v>0.25</v>
      </c>
      <c r="K70" s="129" t="n">
        <f aca="false">G70*J70*'Fleet Build'!$K$58/1000000</f>
        <v>0.273098350387791</v>
      </c>
    </row>
    <row r="71" customFormat="false" ht="15" hidden="false" customHeight="false" outlineLevel="0" collapsed="false">
      <c r="B71" s="125" t="str">
        <f aca="false">'Fleet Build'!B10</f>
        <v>Norwegian Viva</v>
      </c>
      <c r="C71" s="125" t="str">
        <f aca="false">'Fleet Build'!C10</f>
        <v>Norwegian</v>
      </c>
      <c r="D71" s="9" t="s">
        <v>619</v>
      </c>
      <c r="E71" s="111" t="n">
        <f aca="false">F$6</f>
        <v>2025.5</v>
      </c>
      <c r="F71" s="111" t="n">
        <f aca="false">E71+0.25</f>
        <v>2025.75</v>
      </c>
      <c r="G71" s="126" t="n">
        <f aca="false">'Fleet Build'!E10</f>
        <v>3065.80630764653</v>
      </c>
      <c r="H71" s="127" t="n">
        <f aca="false">'Fleet Build'!F10</f>
        <v>2000</v>
      </c>
      <c r="I71" s="127" t="n">
        <f aca="false">'Fleet Build'!G10</f>
        <v>2099</v>
      </c>
      <c r="J71" s="128" t="n">
        <f aca="false">MAX(0,MIN(F71,I71)-MAX(E71,H71))</f>
        <v>0.25</v>
      </c>
      <c r="K71" s="129" t="n">
        <f aca="false">G71*J71*'Fleet Build'!$K$58/1000000</f>
        <v>0.273098350387791</v>
      </c>
    </row>
    <row r="72" customFormat="false" ht="15" hidden="false" customHeight="false" outlineLevel="0" collapsed="false">
      <c r="B72" s="125" t="str">
        <f aca="false">'Fleet Build'!B10</f>
        <v>Norwegian Viva</v>
      </c>
      <c r="C72" s="125" t="str">
        <f aca="false">'Fleet Build'!C10</f>
        <v>Norwegian</v>
      </c>
      <c r="D72" s="9" t="s">
        <v>620</v>
      </c>
      <c r="E72" s="111" t="n">
        <f aca="false">G$6</f>
        <v>2025.75</v>
      </c>
      <c r="F72" s="111" t="n">
        <f aca="false">E72+0.25</f>
        <v>2026</v>
      </c>
      <c r="G72" s="126" t="n">
        <f aca="false">'Fleet Build'!E10</f>
        <v>3065.80630764653</v>
      </c>
      <c r="H72" s="127" t="n">
        <f aca="false">'Fleet Build'!F10</f>
        <v>2000</v>
      </c>
      <c r="I72" s="127" t="n">
        <f aca="false">'Fleet Build'!G10</f>
        <v>2099</v>
      </c>
      <c r="J72" s="128" t="n">
        <f aca="false">MAX(0,MIN(F72,I72)-MAX(E72,H72))</f>
        <v>0.25</v>
      </c>
      <c r="K72" s="129" t="n">
        <f aca="false">G72*J72*'Fleet Build'!$K$58/1000000</f>
        <v>0.273098350387791</v>
      </c>
    </row>
    <row r="73" customFormat="false" ht="15" hidden="false" customHeight="false" outlineLevel="0" collapsed="false">
      <c r="B73" s="125" t="str">
        <f aca="false">'Fleet Build'!B10</f>
        <v>Norwegian Viva</v>
      </c>
      <c r="C73" s="125" t="str">
        <f aca="false">'Fleet Build'!C10</f>
        <v>Norwegian</v>
      </c>
      <c r="D73" s="9" t="s">
        <v>621</v>
      </c>
      <c r="E73" s="111" t="n">
        <f aca="false">H$6</f>
        <v>2026</v>
      </c>
      <c r="F73" s="111" t="n">
        <f aca="false">E73+0.25</f>
        <v>2026.25</v>
      </c>
      <c r="G73" s="126" t="n">
        <f aca="false">'Fleet Build'!E10</f>
        <v>3065.80630764653</v>
      </c>
      <c r="H73" s="127" t="n">
        <f aca="false">'Fleet Build'!F10</f>
        <v>2000</v>
      </c>
      <c r="I73" s="127" t="n">
        <f aca="false">'Fleet Build'!G10</f>
        <v>2099</v>
      </c>
      <c r="J73" s="128" t="n">
        <f aca="false">MAX(0,MIN(F73,I73)-MAX(E73,H73))</f>
        <v>0.25</v>
      </c>
      <c r="K73" s="129" t="n">
        <f aca="false">G73*J73*'Fleet Build'!$K$58/1000000</f>
        <v>0.273098350387791</v>
      </c>
    </row>
    <row r="74" customFormat="false" ht="15" hidden="false" customHeight="false" outlineLevel="0" collapsed="false">
      <c r="B74" s="125" t="str">
        <f aca="false">'Fleet Build'!B10</f>
        <v>Norwegian Viva</v>
      </c>
      <c r="C74" s="125" t="str">
        <f aca="false">'Fleet Build'!C10</f>
        <v>Norwegian</v>
      </c>
      <c r="D74" s="9" t="s">
        <v>622</v>
      </c>
      <c r="E74" s="111" t="n">
        <f aca="false">I$6</f>
        <v>2026.25</v>
      </c>
      <c r="F74" s="111" t="n">
        <f aca="false">E74+0.25</f>
        <v>2026.5</v>
      </c>
      <c r="G74" s="126" t="n">
        <f aca="false">'Fleet Build'!E10</f>
        <v>3065.80630764653</v>
      </c>
      <c r="H74" s="127" t="n">
        <f aca="false">'Fleet Build'!F10</f>
        <v>2000</v>
      </c>
      <c r="I74" s="127" t="n">
        <f aca="false">'Fleet Build'!G10</f>
        <v>2099</v>
      </c>
      <c r="J74" s="128" t="n">
        <f aca="false">MAX(0,MIN(F74,I74)-MAX(E74,H74))</f>
        <v>0.25</v>
      </c>
      <c r="K74" s="129" t="n">
        <f aca="false">G74*J74*'Fleet Build'!$K$58/1000000</f>
        <v>0.273098350387791</v>
      </c>
    </row>
    <row r="75" customFormat="false" ht="15" hidden="false" customHeight="false" outlineLevel="0" collapsed="false">
      <c r="B75" s="125" t="str">
        <f aca="false">'Fleet Build'!B10</f>
        <v>Norwegian Viva</v>
      </c>
      <c r="C75" s="125" t="str">
        <f aca="false">'Fleet Build'!C10</f>
        <v>Norwegian</v>
      </c>
      <c r="D75" s="9" t="s">
        <v>200</v>
      </c>
      <c r="E75" s="111" t="n">
        <f aca="false">J$6</f>
        <v>2026.5</v>
      </c>
      <c r="F75" s="111" t="n">
        <f aca="false">E75+0.25</f>
        <v>2026.75</v>
      </c>
      <c r="G75" s="126" t="n">
        <f aca="false">'Fleet Build'!E10</f>
        <v>3065.80630764653</v>
      </c>
      <c r="H75" s="127" t="n">
        <f aca="false">'Fleet Build'!F10</f>
        <v>2000</v>
      </c>
      <c r="I75" s="127" t="n">
        <f aca="false">'Fleet Build'!G10</f>
        <v>2099</v>
      </c>
      <c r="J75" s="128" t="n">
        <f aca="false">MAX(0,MIN(F75,I75)-MAX(E75,H75))</f>
        <v>0.25</v>
      </c>
      <c r="K75" s="129" t="n">
        <f aca="false">G75*J75*'Fleet Build'!$K$58/1000000</f>
        <v>0.273098350387791</v>
      </c>
    </row>
    <row r="76" customFormat="false" ht="15" hidden="false" customHeight="false" outlineLevel="0" collapsed="false">
      <c r="B76" s="125" t="str">
        <f aca="false">'Fleet Build'!B10</f>
        <v>Norwegian Viva</v>
      </c>
      <c r="C76" s="125" t="str">
        <f aca="false">'Fleet Build'!C10</f>
        <v>Norwegian</v>
      </c>
      <c r="D76" s="9" t="s">
        <v>201</v>
      </c>
      <c r="E76" s="111" t="n">
        <f aca="false">K$6</f>
        <v>2026.75</v>
      </c>
      <c r="F76" s="111" t="n">
        <f aca="false">E76+0.25</f>
        <v>2027</v>
      </c>
      <c r="G76" s="126" t="n">
        <f aca="false">'Fleet Build'!E10</f>
        <v>3065.80630764653</v>
      </c>
      <c r="H76" s="127" t="n">
        <f aca="false">'Fleet Build'!F10</f>
        <v>2000</v>
      </c>
      <c r="I76" s="127" t="n">
        <f aca="false">'Fleet Build'!G10</f>
        <v>2099</v>
      </c>
      <c r="J76" s="128" t="n">
        <f aca="false">MAX(0,MIN(F76,I76)-MAX(E76,H76))</f>
        <v>0.25</v>
      </c>
      <c r="K76" s="129" t="n">
        <f aca="false">G76*J76*'Fleet Build'!$K$58/1000000</f>
        <v>0.273098350387791</v>
      </c>
    </row>
    <row r="77" customFormat="false" ht="15" hidden="false" customHeight="false" outlineLevel="0" collapsed="false">
      <c r="B77" s="125" t="str">
        <f aca="false">'Fleet Build'!B10</f>
        <v>Norwegian Viva</v>
      </c>
      <c r="C77" s="125" t="str">
        <f aca="false">'Fleet Build'!C10</f>
        <v>Norwegian</v>
      </c>
      <c r="D77" s="9" t="s">
        <v>202</v>
      </c>
      <c r="E77" s="111" t="n">
        <f aca="false">L$6</f>
        <v>2027</v>
      </c>
      <c r="F77" s="111" t="n">
        <f aca="false">E77+0.25</f>
        <v>2027.25</v>
      </c>
      <c r="G77" s="126" t="n">
        <f aca="false">'Fleet Build'!E10</f>
        <v>3065.80630764653</v>
      </c>
      <c r="H77" s="127" t="n">
        <f aca="false">'Fleet Build'!F10</f>
        <v>2000</v>
      </c>
      <c r="I77" s="127" t="n">
        <f aca="false">'Fleet Build'!G10</f>
        <v>2099</v>
      </c>
      <c r="J77" s="128" t="n">
        <f aca="false">MAX(0,MIN(F77,I77)-MAX(E77,H77))</f>
        <v>0.25</v>
      </c>
      <c r="K77" s="129" t="n">
        <f aca="false">G77*J77*'Fleet Build'!$K$58/1000000</f>
        <v>0.273098350387791</v>
      </c>
    </row>
    <row r="78" customFormat="false" ht="15" hidden="false" customHeight="false" outlineLevel="0" collapsed="false">
      <c r="B78" s="125" t="str">
        <f aca="false">'Fleet Build'!B10</f>
        <v>Norwegian Viva</v>
      </c>
      <c r="C78" s="125" t="str">
        <f aca="false">'Fleet Build'!C10</f>
        <v>Norwegian</v>
      </c>
      <c r="D78" s="9" t="s">
        <v>203</v>
      </c>
      <c r="E78" s="111" t="n">
        <f aca="false">M$6</f>
        <v>2027.25</v>
      </c>
      <c r="F78" s="111" t="n">
        <f aca="false">E78+0.25</f>
        <v>2027.5</v>
      </c>
      <c r="G78" s="126" t="n">
        <f aca="false">'Fleet Build'!E10</f>
        <v>3065.80630764653</v>
      </c>
      <c r="H78" s="127" t="n">
        <f aca="false">'Fleet Build'!F10</f>
        <v>2000</v>
      </c>
      <c r="I78" s="127" t="n">
        <f aca="false">'Fleet Build'!G10</f>
        <v>2099</v>
      </c>
      <c r="J78" s="128" t="n">
        <f aca="false">MAX(0,MIN(F78,I78)-MAX(E78,H78))</f>
        <v>0.25</v>
      </c>
      <c r="K78" s="129" t="n">
        <f aca="false">G78*J78*'Fleet Build'!$K$58/1000000</f>
        <v>0.273098350387791</v>
      </c>
    </row>
    <row r="79" customFormat="false" ht="15" hidden="false" customHeight="false" outlineLevel="0" collapsed="false">
      <c r="B79" s="125" t="str">
        <f aca="false">'Fleet Build'!B10</f>
        <v>Norwegian Viva</v>
      </c>
      <c r="C79" s="125" t="str">
        <f aca="false">'Fleet Build'!C10</f>
        <v>Norwegian</v>
      </c>
      <c r="D79" s="9" t="s">
        <v>204</v>
      </c>
      <c r="E79" s="111" t="n">
        <f aca="false">N$6</f>
        <v>2027.5</v>
      </c>
      <c r="F79" s="111" t="n">
        <f aca="false">E79+0.25</f>
        <v>2027.75</v>
      </c>
      <c r="G79" s="126" t="n">
        <f aca="false">'Fleet Build'!E10</f>
        <v>3065.80630764653</v>
      </c>
      <c r="H79" s="127" t="n">
        <f aca="false">'Fleet Build'!F10</f>
        <v>2000</v>
      </c>
      <c r="I79" s="127" t="n">
        <f aca="false">'Fleet Build'!G10</f>
        <v>2099</v>
      </c>
      <c r="J79" s="128" t="n">
        <f aca="false">MAX(0,MIN(F79,I79)-MAX(E79,H79))</f>
        <v>0.25</v>
      </c>
      <c r="K79" s="129" t="n">
        <f aca="false">G79*J79*'Fleet Build'!$K$58/1000000</f>
        <v>0.273098350387791</v>
      </c>
    </row>
    <row r="80" customFormat="false" ht="15" hidden="false" customHeight="false" outlineLevel="0" collapsed="false">
      <c r="B80" s="125" t="str">
        <f aca="false">'Fleet Build'!B10</f>
        <v>Norwegian Viva</v>
      </c>
      <c r="C80" s="125" t="str">
        <f aca="false">'Fleet Build'!C10</f>
        <v>Norwegian</v>
      </c>
      <c r="D80" s="9" t="s">
        <v>205</v>
      </c>
      <c r="E80" s="111" t="n">
        <f aca="false">O$6</f>
        <v>2027.75</v>
      </c>
      <c r="F80" s="111" t="n">
        <f aca="false">E80+0.25</f>
        <v>2028</v>
      </c>
      <c r="G80" s="126" t="n">
        <f aca="false">'Fleet Build'!E10</f>
        <v>3065.80630764653</v>
      </c>
      <c r="H80" s="127" t="n">
        <f aca="false">'Fleet Build'!F10</f>
        <v>2000</v>
      </c>
      <c r="I80" s="127" t="n">
        <f aca="false">'Fleet Build'!G10</f>
        <v>2099</v>
      </c>
      <c r="J80" s="128" t="n">
        <f aca="false">MAX(0,MIN(F80,I80)-MAX(E80,H80))</f>
        <v>0.25</v>
      </c>
      <c r="K80" s="129" t="n">
        <f aca="false">G80*J80*'Fleet Build'!$K$58/1000000</f>
        <v>0.273098350387791</v>
      </c>
    </row>
    <row r="81" customFormat="false" ht="15" hidden="false" customHeight="false" outlineLevel="0" collapsed="false">
      <c r="B81" s="125" t="str">
        <f aca="false">'Fleet Build'!B11</f>
        <v>Norwegian Prima</v>
      </c>
      <c r="C81" s="125" t="str">
        <f aca="false">'Fleet Build'!C11</f>
        <v>Norwegian</v>
      </c>
      <c r="D81" s="9" t="s">
        <v>617</v>
      </c>
      <c r="E81" s="111" t="n">
        <f aca="false">D$6</f>
        <v>2025</v>
      </c>
      <c r="F81" s="111" t="n">
        <f aca="false">E81+0.25</f>
        <v>2025.25</v>
      </c>
      <c r="G81" s="126" t="n">
        <f aca="false">'Fleet Build'!E11</f>
        <v>3065.80630764653</v>
      </c>
      <c r="H81" s="127" t="n">
        <f aca="false">'Fleet Build'!F11</f>
        <v>2000</v>
      </c>
      <c r="I81" s="127" t="n">
        <f aca="false">'Fleet Build'!G11</f>
        <v>2099</v>
      </c>
      <c r="J81" s="128" t="n">
        <f aca="false">MAX(0,MIN(F81,I81)-MAX(E81,H81))</f>
        <v>0.25</v>
      </c>
      <c r="K81" s="129" t="n">
        <f aca="false">G81*J81*'Fleet Build'!$K$58/1000000</f>
        <v>0.273098350387791</v>
      </c>
    </row>
    <row r="82" customFormat="false" ht="15" hidden="false" customHeight="false" outlineLevel="0" collapsed="false">
      <c r="B82" s="125" t="str">
        <f aca="false">'Fleet Build'!B11</f>
        <v>Norwegian Prima</v>
      </c>
      <c r="C82" s="125" t="str">
        <f aca="false">'Fleet Build'!C11</f>
        <v>Norwegian</v>
      </c>
      <c r="D82" s="9" t="s">
        <v>618</v>
      </c>
      <c r="E82" s="111" t="n">
        <f aca="false">E$6</f>
        <v>2025.25</v>
      </c>
      <c r="F82" s="111" t="n">
        <f aca="false">E82+0.25</f>
        <v>2025.5</v>
      </c>
      <c r="G82" s="126" t="n">
        <f aca="false">'Fleet Build'!E11</f>
        <v>3065.80630764653</v>
      </c>
      <c r="H82" s="127" t="n">
        <f aca="false">'Fleet Build'!F11</f>
        <v>2000</v>
      </c>
      <c r="I82" s="127" t="n">
        <f aca="false">'Fleet Build'!G11</f>
        <v>2099</v>
      </c>
      <c r="J82" s="128" t="n">
        <f aca="false">MAX(0,MIN(F82,I82)-MAX(E82,H82))</f>
        <v>0.25</v>
      </c>
      <c r="K82" s="129" t="n">
        <f aca="false">G82*J82*'Fleet Build'!$K$58/1000000</f>
        <v>0.273098350387791</v>
      </c>
    </row>
    <row r="83" customFormat="false" ht="15" hidden="false" customHeight="false" outlineLevel="0" collapsed="false">
      <c r="B83" s="125" t="str">
        <f aca="false">'Fleet Build'!B11</f>
        <v>Norwegian Prima</v>
      </c>
      <c r="C83" s="125" t="str">
        <f aca="false">'Fleet Build'!C11</f>
        <v>Norwegian</v>
      </c>
      <c r="D83" s="9" t="s">
        <v>619</v>
      </c>
      <c r="E83" s="111" t="n">
        <f aca="false">F$6</f>
        <v>2025.5</v>
      </c>
      <c r="F83" s="111" t="n">
        <f aca="false">E83+0.25</f>
        <v>2025.75</v>
      </c>
      <c r="G83" s="126" t="n">
        <f aca="false">'Fleet Build'!E11</f>
        <v>3065.80630764653</v>
      </c>
      <c r="H83" s="127" t="n">
        <f aca="false">'Fleet Build'!F11</f>
        <v>2000</v>
      </c>
      <c r="I83" s="127" t="n">
        <f aca="false">'Fleet Build'!G11</f>
        <v>2099</v>
      </c>
      <c r="J83" s="128" t="n">
        <f aca="false">MAX(0,MIN(F83,I83)-MAX(E83,H83))</f>
        <v>0.25</v>
      </c>
      <c r="K83" s="129" t="n">
        <f aca="false">G83*J83*'Fleet Build'!$K$58/1000000</f>
        <v>0.273098350387791</v>
      </c>
    </row>
    <row r="84" customFormat="false" ht="15" hidden="false" customHeight="false" outlineLevel="0" collapsed="false">
      <c r="B84" s="125" t="str">
        <f aca="false">'Fleet Build'!B11</f>
        <v>Norwegian Prima</v>
      </c>
      <c r="C84" s="125" t="str">
        <f aca="false">'Fleet Build'!C11</f>
        <v>Norwegian</v>
      </c>
      <c r="D84" s="9" t="s">
        <v>620</v>
      </c>
      <c r="E84" s="111" t="n">
        <f aca="false">G$6</f>
        <v>2025.75</v>
      </c>
      <c r="F84" s="111" t="n">
        <f aca="false">E84+0.25</f>
        <v>2026</v>
      </c>
      <c r="G84" s="126" t="n">
        <f aca="false">'Fleet Build'!E11</f>
        <v>3065.80630764653</v>
      </c>
      <c r="H84" s="127" t="n">
        <f aca="false">'Fleet Build'!F11</f>
        <v>2000</v>
      </c>
      <c r="I84" s="127" t="n">
        <f aca="false">'Fleet Build'!G11</f>
        <v>2099</v>
      </c>
      <c r="J84" s="128" t="n">
        <f aca="false">MAX(0,MIN(F84,I84)-MAX(E84,H84))</f>
        <v>0.25</v>
      </c>
      <c r="K84" s="129" t="n">
        <f aca="false">G84*J84*'Fleet Build'!$K$58/1000000</f>
        <v>0.273098350387791</v>
      </c>
    </row>
    <row r="85" customFormat="false" ht="15" hidden="false" customHeight="false" outlineLevel="0" collapsed="false">
      <c r="B85" s="125" t="str">
        <f aca="false">'Fleet Build'!B11</f>
        <v>Norwegian Prima</v>
      </c>
      <c r="C85" s="125" t="str">
        <f aca="false">'Fleet Build'!C11</f>
        <v>Norwegian</v>
      </c>
      <c r="D85" s="9" t="s">
        <v>621</v>
      </c>
      <c r="E85" s="111" t="n">
        <f aca="false">H$6</f>
        <v>2026</v>
      </c>
      <c r="F85" s="111" t="n">
        <f aca="false">E85+0.25</f>
        <v>2026.25</v>
      </c>
      <c r="G85" s="126" t="n">
        <f aca="false">'Fleet Build'!E11</f>
        <v>3065.80630764653</v>
      </c>
      <c r="H85" s="127" t="n">
        <f aca="false">'Fleet Build'!F11</f>
        <v>2000</v>
      </c>
      <c r="I85" s="127" t="n">
        <f aca="false">'Fleet Build'!G11</f>
        <v>2099</v>
      </c>
      <c r="J85" s="128" t="n">
        <f aca="false">MAX(0,MIN(F85,I85)-MAX(E85,H85))</f>
        <v>0.25</v>
      </c>
      <c r="K85" s="129" t="n">
        <f aca="false">G85*J85*'Fleet Build'!$K$58/1000000</f>
        <v>0.273098350387791</v>
      </c>
    </row>
    <row r="86" customFormat="false" ht="15" hidden="false" customHeight="false" outlineLevel="0" collapsed="false">
      <c r="B86" s="125" t="str">
        <f aca="false">'Fleet Build'!B11</f>
        <v>Norwegian Prima</v>
      </c>
      <c r="C86" s="125" t="str">
        <f aca="false">'Fleet Build'!C11</f>
        <v>Norwegian</v>
      </c>
      <c r="D86" s="9" t="s">
        <v>622</v>
      </c>
      <c r="E86" s="111" t="n">
        <f aca="false">I$6</f>
        <v>2026.25</v>
      </c>
      <c r="F86" s="111" t="n">
        <f aca="false">E86+0.25</f>
        <v>2026.5</v>
      </c>
      <c r="G86" s="126" t="n">
        <f aca="false">'Fleet Build'!E11</f>
        <v>3065.80630764653</v>
      </c>
      <c r="H86" s="127" t="n">
        <f aca="false">'Fleet Build'!F11</f>
        <v>2000</v>
      </c>
      <c r="I86" s="127" t="n">
        <f aca="false">'Fleet Build'!G11</f>
        <v>2099</v>
      </c>
      <c r="J86" s="128" t="n">
        <f aca="false">MAX(0,MIN(F86,I86)-MAX(E86,H86))</f>
        <v>0.25</v>
      </c>
      <c r="K86" s="129" t="n">
        <f aca="false">G86*J86*'Fleet Build'!$K$58/1000000</f>
        <v>0.273098350387791</v>
      </c>
    </row>
    <row r="87" customFormat="false" ht="15" hidden="false" customHeight="false" outlineLevel="0" collapsed="false">
      <c r="B87" s="125" t="str">
        <f aca="false">'Fleet Build'!B11</f>
        <v>Norwegian Prima</v>
      </c>
      <c r="C87" s="125" t="str">
        <f aca="false">'Fleet Build'!C11</f>
        <v>Norwegian</v>
      </c>
      <c r="D87" s="9" t="s">
        <v>200</v>
      </c>
      <c r="E87" s="111" t="n">
        <f aca="false">J$6</f>
        <v>2026.5</v>
      </c>
      <c r="F87" s="111" t="n">
        <f aca="false">E87+0.25</f>
        <v>2026.75</v>
      </c>
      <c r="G87" s="126" t="n">
        <f aca="false">'Fleet Build'!E11</f>
        <v>3065.80630764653</v>
      </c>
      <c r="H87" s="127" t="n">
        <f aca="false">'Fleet Build'!F11</f>
        <v>2000</v>
      </c>
      <c r="I87" s="127" t="n">
        <f aca="false">'Fleet Build'!G11</f>
        <v>2099</v>
      </c>
      <c r="J87" s="128" t="n">
        <f aca="false">MAX(0,MIN(F87,I87)-MAX(E87,H87))</f>
        <v>0.25</v>
      </c>
      <c r="K87" s="129" t="n">
        <f aca="false">G87*J87*'Fleet Build'!$K$58/1000000</f>
        <v>0.273098350387791</v>
      </c>
    </row>
    <row r="88" customFormat="false" ht="15" hidden="false" customHeight="false" outlineLevel="0" collapsed="false">
      <c r="B88" s="125" t="str">
        <f aca="false">'Fleet Build'!B11</f>
        <v>Norwegian Prima</v>
      </c>
      <c r="C88" s="125" t="str">
        <f aca="false">'Fleet Build'!C11</f>
        <v>Norwegian</v>
      </c>
      <c r="D88" s="9" t="s">
        <v>201</v>
      </c>
      <c r="E88" s="111" t="n">
        <f aca="false">K$6</f>
        <v>2026.75</v>
      </c>
      <c r="F88" s="111" t="n">
        <f aca="false">E88+0.25</f>
        <v>2027</v>
      </c>
      <c r="G88" s="126" t="n">
        <f aca="false">'Fleet Build'!E11</f>
        <v>3065.80630764653</v>
      </c>
      <c r="H88" s="127" t="n">
        <f aca="false">'Fleet Build'!F11</f>
        <v>2000</v>
      </c>
      <c r="I88" s="127" t="n">
        <f aca="false">'Fleet Build'!G11</f>
        <v>2099</v>
      </c>
      <c r="J88" s="128" t="n">
        <f aca="false">MAX(0,MIN(F88,I88)-MAX(E88,H88))</f>
        <v>0.25</v>
      </c>
      <c r="K88" s="129" t="n">
        <f aca="false">G88*J88*'Fleet Build'!$K$58/1000000</f>
        <v>0.273098350387791</v>
      </c>
    </row>
    <row r="89" customFormat="false" ht="15" hidden="false" customHeight="false" outlineLevel="0" collapsed="false">
      <c r="B89" s="125" t="str">
        <f aca="false">'Fleet Build'!B11</f>
        <v>Norwegian Prima</v>
      </c>
      <c r="C89" s="125" t="str">
        <f aca="false">'Fleet Build'!C11</f>
        <v>Norwegian</v>
      </c>
      <c r="D89" s="9" t="s">
        <v>202</v>
      </c>
      <c r="E89" s="111" t="n">
        <f aca="false">L$6</f>
        <v>2027</v>
      </c>
      <c r="F89" s="111" t="n">
        <f aca="false">E89+0.25</f>
        <v>2027.25</v>
      </c>
      <c r="G89" s="126" t="n">
        <f aca="false">'Fleet Build'!E11</f>
        <v>3065.80630764653</v>
      </c>
      <c r="H89" s="127" t="n">
        <f aca="false">'Fleet Build'!F11</f>
        <v>2000</v>
      </c>
      <c r="I89" s="127" t="n">
        <f aca="false">'Fleet Build'!G11</f>
        <v>2099</v>
      </c>
      <c r="J89" s="128" t="n">
        <f aca="false">MAX(0,MIN(F89,I89)-MAX(E89,H89))</f>
        <v>0.25</v>
      </c>
      <c r="K89" s="129" t="n">
        <f aca="false">G89*J89*'Fleet Build'!$K$58/1000000</f>
        <v>0.273098350387791</v>
      </c>
    </row>
    <row r="90" customFormat="false" ht="15" hidden="false" customHeight="false" outlineLevel="0" collapsed="false">
      <c r="B90" s="125" t="str">
        <f aca="false">'Fleet Build'!B11</f>
        <v>Norwegian Prima</v>
      </c>
      <c r="C90" s="125" t="str">
        <f aca="false">'Fleet Build'!C11</f>
        <v>Norwegian</v>
      </c>
      <c r="D90" s="9" t="s">
        <v>203</v>
      </c>
      <c r="E90" s="111" t="n">
        <f aca="false">M$6</f>
        <v>2027.25</v>
      </c>
      <c r="F90" s="111" t="n">
        <f aca="false">E90+0.25</f>
        <v>2027.5</v>
      </c>
      <c r="G90" s="126" t="n">
        <f aca="false">'Fleet Build'!E11</f>
        <v>3065.80630764653</v>
      </c>
      <c r="H90" s="127" t="n">
        <f aca="false">'Fleet Build'!F11</f>
        <v>2000</v>
      </c>
      <c r="I90" s="127" t="n">
        <f aca="false">'Fleet Build'!G11</f>
        <v>2099</v>
      </c>
      <c r="J90" s="128" t="n">
        <f aca="false">MAX(0,MIN(F90,I90)-MAX(E90,H90))</f>
        <v>0.25</v>
      </c>
      <c r="K90" s="129" t="n">
        <f aca="false">G90*J90*'Fleet Build'!$K$58/1000000</f>
        <v>0.273098350387791</v>
      </c>
    </row>
    <row r="91" customFormat="false" ht="15" hidden="false" customHeight="false" outlineLevel="0" collapsed="false">
      <c r="B91" s="125" t="str">
        <f aca="false">'Fleet Build'!B11</f>
        <v>Norwegian Prima</v>
      </c>
      <c r="C91" s="125" t="str">
        <f aca="false">'Fleet Build'!C11</f>
        <v>Norwegian</v>
      </c>
      <c r="D91" s="9" t="s">
        <v>204</v>
      </c>
      <c r="E91" s="111" t="n">
        <f aca="false">N$6</f>
        <v>2027.5</v>
      </c>
      <c r="F91" s="111" t="n">
        <f aca="false">E91+0.25</f>
        <v>2027.75</v>
      </c>
      <c r="G91" s="126" t="n">
        <f aca="false">'Fleet Build'!E11</f>
        <v>3065.80630764653</v>
      </c>
      <c r="H91" s="127" t="n">
        <f aca="false">'Fleet Build'!F11</f>
        <v>2000</v>
      </c>
      <c r="I91" s="127" t="n">
        <f aca="false">'Fleet Build'!G11</f>
        <v>2099</v>
      </c>
      <c r="J91" s="128" t="n">
        <f aca="false">MAX(0,MIN(F91,I91)-MAX(E91,H91))</f>
        <v>0.25</v>
      </c>
      <c r="K91" s="129" t="n">
        <f aca="false">G91*J91*'Fleet Build'!$K$58/1000000</f>
        <v>0.273098350387791</v>
      </c>
    </row>
    <row r="92" customFormat="false" ht="15" hidden="false" customHeight="false" outlineLevel="0" collapsed="false">
      <c r="B92" s="125" t="str">
        <f aca="false">'Fleet Build'!B11</f>
        <v>Norwegian Prima</v>
      </c>
      <c r="C92" s="125" t="str">
        <f aca="false">'Fleet Build'!C11</f>
        <v>Norwegian</v>
      </c>
      <c r="D92" s="9" t="s">
        <v>205</v>
      </c>
      <c r="E92" s="111" t="n">
        <f aca="false">O$6</f>
        <v>2027.75</v>
      </c>
      <c r="F92" s="111" t="n">
        <f aca="false">E92+0.25</f>
        <v>2028</v>
      </c>
      <c r="G92" s="126" t="n">
        <f aca="false">'Fleet Build'!E11</f>
        <v>3065.80630764653</v>
      </c>
      <c r="H92" s="127" t="n">
        <f aca="false">'Fleet Build'!F11</f>
        <v>2000</v>
      </c>
      <c r="I92" s="127" t="n">
        <f aca="false">'Fleet Build'!G11</f>
        <v>2099</v>
      </c>
      <c r="J92" s="128" t="n">
        <f aca="false">MAX(0,MIN(F92,I92)-MAX(E92,H92))</f>
        <v>0.25</v>
      </c>
      <c r="K92" s="129" t="n">
        <f aca="false">G92*J92*'Fleet Build'!$K$58/1000000</f>
        <v>0.273098350387791</v>
      </c>
    </row>
    <row r="93" customFormat="false" ht="15" hidden="false" customHeight="false" outlineLevel="0" collapsed="false">
      <c r="B93" s="125" t="str">
        <f aca="false">'Fleet Build'!B12</f>
        <v>Norwegian new class #1</v>
      </c>
      <c r="C93" s="125" t="str">
        <f aca="false">'Fleet Build'!C12</f>
        <v>Norwegian</v>
      </c>
      <c r="D93" s="9" t="s">
        <v>617</v>
      </c>
      <c r="E93" s="111" t="n">
        <f aca="false">D$6</f>
        <v>2025</v>
      </c>
      <c r="F93" s="111" t="n">
        <f aca="false">E93+0.25</f>
        <v>2025.25</v>
      </c>
      <c r="G93" s="126" t="n">
        <f aca="false">'Fleet Build'!E12</f>
        <v>5000</v>
      </c>
      <c r="H93" s="127" t="n">
        <f aca="false">'Fleet Build'!F12</f>
        <v>2030.5</v>
      </c>
      <c r="I93" s="127" t="n">
        <f aca="false">'Fleet Build'!G12</f>
        <v>2099</v>
      </c>
      <c r="J93" s="128" t="n">
        <f aca="false">MAX(0,MIN(F93,I93)-MAX(E93,H93))</f>
        <v>0</v>
      </c>
      <c r="K93" s="129" t="n">
        <f aca="false">G93*J93*'Fleet Build'!$K$58/1000000</f>
        <v>0</v>
      </c>
    </row>
    <row r="94" customFormat="false" ht="15" hidden="false" customHeight="false" outlineLevel="0" collapsed="false">
      <c r="B94" s="125" t="str">
        <f aca="false">'Fleet Build'!B12</f>
        <v>Norwegian new class #1</v>
      </c>
      <c r="C94" s="125" t="str">
        <f aca="false">'Fleet Build'!C12</f>
        <v>Norwegian</v>
      </c>
      <c r="D94" s="9" t="s">
        <v>618</v>
      </c>
      <c r="E94" s="111" t="n">
        <f aca="false">E$6</f>
        <v>2025.25</v>
      </c>
      <c r="F94" s="111" t="n">
        <f aca="false">E94+0.25</f>
        <v>2025.5</v>
      </c>
      <c r="G94" s="126" t="n">
        <f aca="false">'Fleet Build'!E12</f>
        <v>5000</v>
      </c>
      <c r="H94" s="127" t="n">
        <f aca="false">'Fleet Build'!F12</f>
        <v>2030.5</v>
      </c>
      <c r="I94" s="127" t="n">
        <f aca="false">'Fleet Build'!G12</f>
        <v>2099</v>
      </c>
      <c r="J94" s="128" t="n">
        <f aca="false">MAX(0,MIN(F94,I94)-MAX(E94,H94))</f>
        <v>0</v>
      </c>
      <c r="K94" s="129" t="n">
        <f aca="false">G94*J94*'Fleet Build'!$K$58/1000000</f>
        <v>0</v>
      </c>
    </row>
    <row r="95" customFormat="false" ht="15" hidden="false" customHeight="false" outlineLevel="0" collapsed="false">
      <c r="B95" s="125" t="str">
        <f aca="false">'Fleet Build'!B12</f>
        <v>Norwegian new class #1</v>
      </c>
      <c r="C95" s="125" t="str">
        <f aca="false">'Fleet Build'!C12</f>
        <v>Norwegian</v>
      </c>
      <c r="D95" s="9" t="s">
        <v>619</v>
      </c>
      <c r="E95" s="111" t="n">
        <f aca="false">F$6</f>
        <v>2025.5</v>
      </c>
      <c r="F95" s="111" t="n">
        <f aca="false">E95+0.25</f>
        <v>2025.75</v>
      </c>
      <c r="G95" s="126" t="n">
        <f aca="false">'Fleet Build'!E12</f>
        <v>5000</v>
      </c>
      <c r="H95" s="127" t="n">
        <f aca="false">'Fleet Build'!F12</f>
        <v>2030.5</v>
      </c>
      <c r="I95" s="127" t="n">
        <f aca="false">'Fleet Build'!G12</f>
        <v>2099</v>
      </c>
      <c r="J95" s="128" t="n">
        <f aca="false">MAX(0,MIN(F95,I95)-MAX(E95,H95))</f>
        <v>0</v>
      </c>
      <c r="K95" s="129" t="n">
        <f aca="false">G95*J95*'Fleet Build'!$K$58/1000000</f>
        <v>0</v>
      </c>
    </row>
    <row r="96" customFormat="false" ht="15" hidden="false" customHeight="false" outlineLevel="0" collapsed="false">
      <c r="B96" s="125" t="str">
        <f aca="false">'Fleet Build'!B12</f>
        <v>Norwegian new class #1</v>
      </c>
      <c r="C96" s="125" t="str">
        <f aca="false">'Fleet Build'!C12</f>
        <v>Norwegian</v>
      </c>
      <c r="D96" s="9" t="s">
        <v>620</v>
      </c>
      <c r="E96" s="111" t="n">
        <f aca="false">G$6</f>
        <v>2025.75</v>
      </c>
      <c r="F96" s="111" t="n">
        <f aca="false">E96+0.25</f>
        <v>2026</v>
      </c>
      <c r="G96" s="126" t="n">
        <f aca="false">'Fleet Build'!E12</f>
        <v>5000</v>
      </c>
      <c r="H96" s="127" t="n">
        <f aca="false">'Fleet Build'!F12</f>
        <v>2030.5</v>
      </c>
      <c r="I96" s="127" t="n">
        <f aca="false">'Fleet Build'!G12</f>
        <v>2099</v>
      </c>
      <c r="J96" s="128" t="n">
        <f aca="false">MAX(0,MIN(F96,I96)-MAX(E96,H96))</f>
        <v>0</v>
      </c>
      <c r="K96" s="129" t="n">
        <f aca="false">G96*J96*'Fleet Build'!$K$58/1000000</f>
        <v>0</v>
      </c>
    </row>
    <row r="97" customFormat="false" ht="15" hidden="false" customHeight="false" outlineLevel="0" collapsed="false">
      <c r="B97" s="125" t="str">
        <f aca="false">'Fleet Build'!B12</f>
        <v>Norwegian new class #1</v>
      </c>
      <c r="C97" s="125" t="str">
        <f aca="false">'Fleet Build'!C12</f>
        <v>Norwegian</v>
      </c>
      <c r="D97" s="9" t="s">
        <v>621</v>
      </c>
      <c r="E97" s="111" t="n">
        <f aca="false">H$6</f>
        <v>2026</v>
      </c>
      <c r="F97" s="111" t="n">
        <f aca="false">E97+0.25</f>
        <v>2026.25</v>
      </c>
      <c r="G97" s="126" t="n">
        <f aca="false">'Fleet Build'!E12</f>
        <v>5000</v>
      </c>
      <c r="H97" s="127" t="n">
        <f aca="false">'Fleet Build'!F12</f>
        <v>2030.5</v>
      </c>
      <c r="I97" s="127" t="n">
        <f aca="false">'Fleet Build'!G12</f>
        <v>2099</v>
      </c>
      <c r="J97" s="128" t="n">
        <f aca="false">MAX(0,MIN(F97,I97)-MAX(E97,H97))</f>
        <v>0</v>
      </c>
      <c r="K97" s="129" t="n">
        <f aca="false">G97*J97*'Fleet Build'!$K$58/1000000</f>
        <v>0</v>
      </c>
    </row>
    <row r="98" customFormat="false" ht="15" hidden="false" customHeight="false" outlineLevel="0" collapsed="false">
      <c r="B98" s="125" t="str">
        <f aca="false">'Fleet Build'!B12</f>
        <v>Norwegian new class #1</v>
      </c>
      <c r="C98" s="125" t="str">
        <f aca="false">'Fleet Build'!C12</f>
        <v>Norwegian</v>
      </c>
      <c r="D98" s="9" t="s">
        <v>622</v>
      </c>
      <c r="E98" s="111" t="n">
        <f aca="false">I$6</f>
        <v>2026.25</v>
      </c>
      <c r="F98" s="111" t="n">
        <f aca="false">E98+0.25</f>
        <v>2026.5</v>
      </c>
      <c r="G98" s="126" t="n">
        <f aca="false">'Fleet Build'!E12</f>
        <v>5000</v>
      </c>
      <c r="H98" s="127" t="n">
        <f aca="false">'Fleet Build'!F12</f>
        <v>2030.5</v>
      </c>
      <c r="I98" s="127" t="n">
        <f aca="false">'Fleet Build'!G12</f>
        <v>2099</v>
      </c>
      <c r="J98" s="128" t="n">
        <f aca="false">MAX(0,MIN(F98,I98)-MAX(E98,H98))</f>
        <v>0</v>
      </c>
      <c r="K98" s="129" t="n">
        <f aca="false">G98*J98*'Fleet Build'!$K$58/1000000</f>
        <v>0</v>
      </c>
    </row>
    <row r="99" customFormat="false" ht="15" hidden="false" customHeight="false" outlineLevel="0" collapsed="false">
      <c r="B99" s="125" t="str">
        <f aca="false">'Fleet Build'!B12</f>
        <v>Norwegian new class #1</v>
      </c>
      <c r="C99" s="125" t="str">
        <f aca="false">'Fleet Build'!C12</f>
        <v>Norwegian</v>
      </c>
      <c r="D99" s="9" t="s">
        <v>200</v>
      </c>
      <c r="E99" s="111" t="n">
        <f aca="false">J$6</f>
        <v>2026.5</v>
      </c>
      <c r="F99" s="111" t="n">
        <f aca="false">E99+0.25</f>
        <v>2026.75</v>
      </c>
      <c r="G99" s="126" t="n">
        <f aca="false">'Fleet Build'!E12</f>
        <v>5000</v>
      </c>
      <c r="H99" s="127" t="n">
        <f aca="false">'Fleet Build'!F12</f>
        <v>2030.5</v>
      </c>
      <c r="I99" s="127" t="n">
        <f aca="false">'Fleet Build'!G12</f>
        <v>2099</v>
      </c>
      <c r="J99" s="128" t="n">
        <f aca="false">MAX(0,MIN(F99,I99)-MAX(E99,H99))</f>
        <v>0</v>
      </c>
      <c r="K99" s="129" t="n">
        <f aca="false">G99*J99*'Fleet Build'!$K$58/1000000</f>
        <v>0</v>
      </c>
    </row>
    <row r="100" customFormat="false" ht="15" hidden="false" customHeight="false" outlineLevel="0" collapsed="false">
      <c r="B100" s="125" t="str">
        <f aca="false">'Fleet Build'!B12</f>
        <v>Norwegian new class #1</v>
      </c>
      <c r="C100" s="125" t="str">
        <f aca="false">'Fleet Build'!C12</f>
        <v>Norwegian</v>
      </c>
      <c r="D100" s="9" t="s">
        <v>201</v>
      </c>
      <c r="E100" s="111" t="n">
        <f aca="false">K$6</f>
        <v>2026.75</v>
      </c>
      <c r="F100" s="111" t="n">
        <f aca="false">E100+0.25</f>
        <v>2027</v>
      </c>
      <c r="G100" s="126" t="n">
        <f aca="false">'Fleet Build'!E12</f>
        <v>5000</v>
      </c>
      <c r="H100" s="127" t="n">
        <f aca="false">'Fleet Build'!F12</f>
        <v>2030.5</v>
      </c>
      <c r="I100" s="127" t="n">
        <f aca="false">'Fleet Build'!G12</f>
        <v>2099</v>
      </c>
      <c r="J100" s="128" t="n">
        <f aca="false">MAX(0,MIN(F100,I100)-MAX(E100,H100))</f>
        <v>0</v>
      </c>
      <c r="K100" s="129" t="n">
        <f aca="false">G100*J100*'Fleet Build'!$K$58/1000000</f>
        <v>0</v>
      </c>
    </row>
    <row r="101" customFormat="false" ht="15" hidden="false" customHeight="false" outlineLevel="0" collapsed="false">
      <c r="B101" s="125" t="str">
        <f aca="false">'Fleet Build'!B12</f>
        <v>Norwegian new class #1</v>
      </c>
      <c r="C101" s="125" t="str">
        <f aca="false">'Fleet Build'!C12</f>
        <v>Norwegian</v>
      </c>
      <c r="D101" s="9" t="s">
        <v>202</v>
      </c>
      <c r="E101" s="111" t="n">
        <f aca="false">L$6</f>
        <v>2027</v>
      </c>
      <c r="F101" s="111" t="n">
        <f aca="false">E101+0.25</f>
        <v>2027.25</v>
      </c>
      <c r="G101" s="126" t="n">
        <f aca="false">'Fleet Build'!E12</f>
        <v>5000</v>
      </c>
      <c r="H101" s="127" t="n">
        <f aca="false">'Fleet Build'!F12</f>
        <v>2030.5</v>
      </c>
      <c r="I101" s="127" t="n">
        <f aca="false">'Fleet Build'!G12</f>
        <v>2099</v>
      </c>
      <c r="J101" s="128" t="n">
        <f aca="false">MAX(0,MIN(F101,I101)-MAX(E101,H101))</f>
        <v>0</v>
      </c>
      <c r="K101" s="129" t="n">
        <f aca="false">G101*J101*'Fleet Build'!$K$58/1000000</f>
        <v>0</v>
      </c>
    </row>
    <row r="102" customFormat="false" ht="15" hidden="false" customHeight="false" outlineLevel="0" collapsed="false">
      <c r="B102" s="125" t="str">
        <f aca="false">'Fleet Build'!B12</f>
        <v>Norwegian new class #1</v>
      </c>
      <c r="C102" s="125" t="str">
        <f aca="false">'Fleet Build'!C12</f>
        <v>Norwegian</v>
      </c>
      <c r="D102" s="9" t="s">
        <v>203</v>
      </c>
      <c r="E102" s="111" t="n">
        <f aca="false">M$6</f>
        <v>2027.25</v>
      </c>
      <c r="F102" s="111" t="n">
        <f aca="false">E102+0.25</f>
        <v>2027.5</v>
      </c>
      <c r="G102" s="126" t="n">
        <f aca="false">'Fleet Build'!E12</f>
        <v>5000</v>
      </c>
      <c r="H102" s="127" t="n">
        <f aca="false">'Fleet Build'!F12</f>
        <v>2030.5</v>
      </c>
      <c r="I102" s="127" t="n">
        <f aca="false">'Fleet Build'!G12</f>
        <v>2099</v>
      </c>
      <c r="J102" s="128" t="n">
        <f aca="false">MAX(0,MIN(F102,I102)-MAX(E102,H102))</f>
        <v>0</v>
      </c>
      <c r="K102" s="129" t="n">
        <f aca="false">G102*J102*'Fleet Build'!$K$58/1000000</f>
        <v>0</v>
      </c>
    </row>
    <row r="103" customFormat="false" ht="15" hidden="false" customHeight="false" outlineLevel="0" collapsed="false">
      <c r="B103" s="125" t="str">
        <f aca="false">'Fleet Build'!B12</f>
        <v>Norwegian new class #1</v>
      </c>
      <c r="C103" s="125" t="str">
        <f aca="false">'Fleet Build'!C12</f>
        <v>Norwegian</v>
      </c>
      <c r="D103" s="9" t="s">
        <v>204</v>
      </c>
      <c r="E103" s="111" t="n">
        <f aca="false">N$6</f>
        <v>2027.5</v>
      </c>
      <c r="F103" s="111" t="n">
        <f aca="false">E103+0.25</f>
        <v>2027.75</v>
      </c>
      <c r="G103" s="126" t="n">
        <f aca="false">'Fleet Build'!E12</f>
        <v>5000</v>
      </c>
      <c r="H103" s="127" t="n">
        <f aca="false">'Fleet Build'!F12</f>
        <v>2030.5</v>
      </c>
      <c r="I103" s="127" t="n">
        <f aca="false">'Fleet Build'!G12</f>
        <v>2099</v>
      </c>
      <c r="J103" s="128" t="n">
        <f aca="false">MAX(0,MIN(F103,I103)-MAX(E103,H103))</f>
        <v>0</v>
      </c>
      <c r="K103" s="129" t="n">
        <f aca="false">G103*J103*'Fleet Build'!$K$58/1000000</f>
        <v>0</v>
      </c>
    </row>
    <row r="104" customFormat="false" ht="15" hidden="false" customHeight="false" outlineLevel="0" collapsed="false">
      <c r="B104" s="125" t="str">
        <f aca="false">'Fleet Build'!B12</f>
        <v>Norwegian new class #1</v>
      </c>
      <c r="C104" s="125" t="str">
        <f aca="false">'Fleet Build'!C12</f>
        <v>Norwegian</v>
      </c>
      <c r="D104" s="9" t="s">
        <v>205</v>
      </c>
      <c r="E104" s="111" t="n">
        <f aca="false">O$6</f>
        <v>2027.75</v>
      </c>
      <c r="F104" s="111" t="n">
        <f aca="false">E104+0.25</f>
        <v>2028</v>
      </c>
      <c r="G104" s="126" t="n">
        <f aca="false">'Fleet Build'!E12</f>
        <v>5000</v>
      </c>
      <c r="H104" s="127" t="n">
        <f aca="false">'Fleet Build'!F12</f>
        <v>2030.5</v>
      </c>
      <c r="I104" s="127" t="n">
        <f aca="false">'Fleet Build'!G12</f>
        <v>2099</v>
      </c>
      <c r="J104" s="128" t="n">
        <f aca="false">MAX(0,MIN(F104,I104)-MAX(E104,H104))</f>
        <v>0</v>
      </c>
      <c r="K104" s="129" t="n">
        <f aca="false">G104*J104*'Fleet Build'!$K$58/1000000</f>
        <v>0</v>
      </c>
    </row>
    <row r="105" customFormat="false" ht="15" hidden="false" customHeight="false" outlineLevel="0" collapsed="false">
      <c r="B105" s="125" t="str">
        <f aca="false">'Fleet Build'!B13</f>
        <v>Norwegian Encore</v>
      </c>
      <c r="C105" s="125" t="str">
        <f aca="false">'Fleet Build'!C13</f>
        <v>Norwegian</v>
      </c>
      <c r="D105" s="9" t="s">
        <v>617</v>
      </c>
      <c r="E105" s="111" t="n">
        <f aca="false">D$6</f>
        <v>2025</v>
      </c>
      <c r="F105" s="111" t="n">
        <f aca="false">E105+0.25</f>
        <v>2025.25</v>
      </c>
      <c r="G105" s="126" t="n">
        <f aca="false">'Fleet Build'!E13</f>
        <v>3955.17703064564</v>
      </c>
      <c r="H105" s="127" t="n">
        <f aca="false">'Fleet Build'!F13</f>
        <v>2000</v>
      </c>
      <c r="I105" s="127" t="n">
        <f aca="false">'Fleet Build'!G13</f>
        <v>2099</v>
      </c>
      <c r="J105" s="128" t="n">
        <f aca="false">MAX(0,MIN(F105,I105)-MAX(E105,H105))</f>
        <v>0.25</v>
      </c>
      <c r="K105" s="129" t="n">
        <f aca="false">G105*J105*'Fleet Build'!$K$58/1000000</f>
        <v>0.352322428154369</v>
      </c>
    </row>
    <row r="106" customFormat="false" ht="15" hidden="false" customHeight="false" outlineLevel="0" collapsed="false">
      <c r="B106" s="125" t="str">
        <f aca="false">'Fleet Build'!B13</f>
        <v>Norwegian Encore</v>
      </c>
      <c r="C106" s="125" t="str">
        <f aca="false">'Fleet Build'!C13</f>
        <v>Norwegian</v>
      </c>
      <c r="D106" s="9" t="s">
        <v>618</v>
      </c>
      <c r="E106" s="111" t="n">
        <f aca="false">E$6</f>
        <v>2025.25</v>
      </c>
      <c r="F106" s="111" t="n">
        <f aca="false">E106+0.25</f>
        <v>2025.5</v>
      </c>
      <c r="G106" s="126" t="n">
        <f aca="false">'Fleet Build'!E13</f>
        <v>3955.17703064564</v>
      </c>
      <c r="H106" s="127" t="n">
        <f aca="false">'Fleet Build'!F13</f>
        <v>2000</v>
      </c>
      <c r="I106" s="127" t="n">
        <f aca="false">'Fleet Build'!G13</f>
        <v>2099</v>
      </c>
      <c r="J106" s="128" t="n">
        <f aca="false">MAX(0,MIN(F106,I106)-MAX(E106,H106))</f>
        <v>0.25</v>
      </c>
      <c r="K106" s="129" t="n">
        <f aca="false">G106*J106*'Fleet Build'!$K$58/1000000</f>
        <v>0.352322428154369</v>
      </c>
    </row>
    <row r="107" customFormat="false" ht="15" hidden="false" customHeight="false" outlineLevel="0" collapsed="false">
      <c r="B107" s="125" t="str">
        <f aca="false">'Fleet Build'!B13</f>
        <v>Norwegian Encore</v>
      </c>
      <c r="C107" s="125" t="str">
        <f aca="false">'Fleet Build'!C13</f>
        <v>Norwegian</v>
      </c>
      <c r="D107" s="9" t="s">
        <v>619</v>
      </c>
      <c r="E107" s="111" t="n">
        <f aca="false">F$6</f>
        <v>2025.5</v>
      </c>
      <c r="F107" s="111" t="n">
        <f aca="false">E107+0.25</f>
        <v>2025.75</v>
      </c>
      <c r="G107" s="126" t="n">
        <f aca="false">'Fleet Build'!E13</f>
        <v>3955.17703064564</v>
      </c>
      <c r="H107" s="127" t="n">
        <f aca="false">'Fleet Build'!F13</f>
        <v>2000</v>
      </c>
      <c r="I107" s="127" t="n">
        <f aca="false">'Fleet Build'!G13</f>
        <v>2099</v>
      </c>
      <c r="J107" s="128" t="n">
        <f aca="false">MAX(0,MIN(F107,I107)-MAX(E107,H107))</f>
        <v>0.25</v>
      </c>
      <c r="K107" s="129" t="n">
        <f aca="false">G107*J107*'Fleet Build'!$K$58/1000000</f>
        <v>0.352322428154369</v>
      </c>
    </row>
    <row r="108" customFormat="false" ht="15" hidden="false" customHeight="false" outlineLevel="0" collapsed="false">
      <c r="B108" s="125" t="str">
        <f aca="false">'Fleet Build'!B13</f>
        <v>Norwegian Encore</v>
      </c>
      <c r="C108" s="125" t="str">
        <f aca="false">'Fleet Build'!C13</f>
        <v>Norwegian</v>
      </c>
      <c r="D108" s="9" t="s">
        <v>620</v>
      </c>
      <c r="E108" s="111" t="n">
        <f aca="false">G$6</f>
        <v>2025.75</v>
      </c>
      <c r="F108" s="111" t="n">
        <f aca="false">E108+0.25</f>
        <v>2026</v>
      </c>
      <c r="G108" s="126" t="n">
        <f aca="false">'Fleet Build'!E13</f>
        <v>3955.17703064564</v>
      </c>
      <c r="H108" s="127" t="n">
        <f aca="false">'Fleet Build'!F13</f>
        <v>2000</v>
      </c>
      <c r="I108" s="127" t="n">
        <f aca="false">'Fleet Build'!G13</f>
        <v>2099</v>
      </c>
      <c r="J108" s="128" t="n">
        <f aca="false">MAX(0,MIN(F108,I108)-MAX(E108,H108))</f>
        <v>0.25</v>
      </c>
      <c r="K108" s="129" t="n">
        <f aca="false">G108*J108*'Fleet Build'!$K$58/1000000</f>
        <v>0.352322428154369</v>
      </c>
    </row>
    <row r="109" customFormat="false" ht="15" hidden="false" customHeight="false" outlineLevel="0" collapsed="false">
      <c r="B109" s="125" t="str">
        <f aca="false">'Fleet Build'!B13</f>
        <v>Norwegian Encore</v>
      </c>
      <c r="C109" s="125" t="str">
        <f aca="false">'Fleet Build'!C13</f>
        <v>Norwegian</v>
      </c>
      <c r="D109" s="9" t="s">
        <v>621</v>
      </c>
      <c r="E109" s="111" t="n">
        <f aca="false">H$6</f>
        <v>2026</v>
      </c>
      <c r="F109" s="111" t="n">
        <f aca="false">E109+0.25</f>
        <v>2026.25</v>
      </c>
      <c r="G109" s="126" t="n">
        <f aca="false">'Fleet Build'!E13</f>
        <v>3955.17703064564</v>
      </c>
      <c r="H109" s="127" t="n">
        <f aca="false">'Fleet Build'!F13</f>
        <v>2000</v>
      </c>
      <c r="I109" s="127" t="n">
        <f aca="false">'Fleet Build'!G13</f>
        <v>2099</v>
      </c>
      <c r="J109" s="128" t="n">
        <f aca="false">MAX(0,MIN(F109,I109)-MAX(E109,H109))</f>
        <v>0.25</v>
      </c>
      <c r="K109" s="129" t="n">
        <f aca="false">G109*J109*'Fleet Build'!$K$58/1000000</f>
        <v>0.352322428154369</v>
      </c>
    </row>
    <row r="110" customFormat="false" ht="15" hidden="false" customHeight="false" outlineLevel="0" collapsed="false">
      <c r="B110" s="125" t="str">
        <f aca="false">'Fleet Build'!B13</f>
        <v>Norwegian Encore</v>
      </c>
      <c r="C110" s="125" t="str">
        <f aca="false">'Fleet Build'!C13</f>
        <v>Norwegian</v>
      </c>
      <c r="D110" s="9" t="s">
        <v>622</v>
      </c>
      <c r="E110" s="111" t="n">
        <f aca="false">I$6</f>
        <v>2026.25</v>
      </c>
      <c r="F110" s="111" t="n">
        <f aca="false">E110+0.25</f>
        <v>2026.5</v>
      </c>
      <c r="G110" s="126" t="n">
        <f aca="false">'Fleet Build'!E13</f>
        <v>3955.17703064564</v>
      </c>
      <c r="H110" s="127" t="n">
        <f aca="false">'Fleet Build'!F13</f>
        <v>2000</v>
      </c>
      <c r="I110" s="127" t="n">
        <f aca="false">'Fleet Build'!G13</f>
        <v>2099</v>
      </c>
      <c r="J110" s="128" t="n">
        <f aca="false">MAX(0,MIN(F110,I110)-MAX(E110,H110))</f>
        <v>0.25</v>
      </c>
      <c r="K110" s="129" t="n">
        <f aca="false">G110*J110*'Fleet Build'!$K$58/1000000</f>
        <v>0.352322428154369</v>
      </c>
    </row>
    <row r="111" customFormat="false" ht="15" hidden="false" customHeight="false" outlineLevel="0" collapsed="false">
      <c r="B111" s="125" t="str">
        <f aca="false">'Fleet Build'!B13</f>
        <v>Norwegian Encore</v>
      </c>
      <c r="C111" s="125" t="str">
        <f aca="false">'Fleet Build'!C13</f>
        <v>Norwegian</v>
      </c>
      <c r="D111" s="9" t="s">
        <v>200</v>
      </c>
      <c r="E111" s="111" t="n">
        <f aca="false">J$6</f>
        <v>2026.5</v>
      </c>
      <c r="F111" s="111" t="n">
        <f aca="false">E111+0.25</f>
        <v>2026.75</v>
      </c>
      <c r="G111" s="126" t="n">
        <f aca="false">'Fleet Build'!E13</f>
        <v>3955.17703064564</v>
      </c>
      <c r="H111" s="127" t="n">
        <f aca="false">'Fleet Build'!F13</f>
        <v>2000</v>
      </c>
      <c r="I111" s="127" t="n">
        <f aca="false">'Fleet Build'!G13</f>
        <v>2099</v>
      </c>
      <c r="J111" s="128" t="n">
        <f aca="false">MAX(0,MIN(F111,I111)-MAX(E111,H111))</f>
        <v>0.25</v>
      </c>
      <c r="K111" s="129" t="n">
        <f aca="false">G111*J111*'Fleet Build'!$K$58/1000000</f>
        <v>0.352322428154369</v>
      </c>
    </row>
    <row r="112" customFormat="false" ht="15" hidden="false" customHeight="false" outlineLevel="0" collapsed="false">
      <c r="B112" s="125" t="str">
        <f aca="false">'Fleet Build'!B13</f>
        <v>Norwegian Encore</v>
      </c>
      <c r="C112" s="125" t="str">
        <f aca="false">'Fleet Build'!C13</f>
        <v>Norwegian</v>
      </c>
      <c r="D112" s="9" t="s">
        <v>201</v>
      </c>
      <c r="E112" s="111" t="n">
        <f aca="false">K$6</f>
        <v>2026.75</v>
      </c>
      <c r="F112" s="111" t="n">
        <f aca="false">E112+0.25</f>
        <v>2027</v>
      </c>
      <c r="G112" s="126" t="n">
        <f aca="false">'Fleet Build'!E13</f>
        <v>3955.17703064564</v>
      </c>
      <c r="H112" s="127" t="n">
        <f aca="false">'Fleet Build'!F13</f>
        <v>2000</v>
      </c>
      <c r="I112" s="127" t="n">
        <f aca="false">'Fleet Build'!G13</f>
        <v>2099</v>
      </c>
      <c r="J112" s="128" t="n">
        <f aca="false">MAX(0,MIN(F112,I112)-MAX(E112,H112))</f>
        <v>0.25</v>
      </c>
      <c r="K112" s="129" t="n">
        <f aca="false">G112*J112*'Fleet Build'!$K$58/1000000</f>
        <v>0.352322428154369</v>
      </c>
    </row>
    <row r="113" customFormat="false" ht="15" hidden="false" customHeight="false" outlineLevel="0" collapsed="false">
      <c r="B113" s="125" t="str">
        <f aca="false">'Fleet Build'!B13</f>
        <v>Norwegian Encore</v>
      </c>
      <c r="C113" s="125" t="str">
        <f aca="false">'Fleet Build'!C13</f>
        <v>Norwegian</v>
      </c>
      <c r="D113" s="9" t="s">
        <v>202</v>
      </c>
      <c r="E113" s="111" t="n">
        <f aca="false">L$6</f>
        <v>2027</v>
      </c>
      <c r="F113" s="111" t="n">
        <f aca="false">E113+0.25</f>
        <v>2027.25</v>
      </c>
      <c r="G113" s="126" t="n">
        <f aca="false">'Fleet Build'!E13</f>
        <v>3955.17703064564</v>
      </c>
      <c r="H113" s="127" t="n">
        <f aca="false">'Fleet Build'!F13</f>
        <v>2000</v>
      </c>
      <c r="I113" s="127" t="n">
        <f aca="false">'Fleet Build'!G13</f>
        <v>2099</v>
      </c>
      <c r="J113" s="128" t="n">
        <f aca="false">MAX(0,MIN(F113,I113)-MAX(E113,H113))</f>
        <v>0.25</v>
      </c>
      <c r="K113" s="129" t="n">
        <f aca="false">G113*J113*'Fleet Build'!$K$58/1000000</f>
        <v>0.352322428154369</v>
      </c>
    </row>
    <row r="114" customFormat="false" ht="15" hidden="false" customHeight="false" outlineLevel="0" collapsed="false">
      <c r="B114" s="125" t="str">
        <f aca="false">'Fleet Build'!B13</f>
        <v>Norwegian Encore</v>
      </c>
      <c r="C114" s="125" t="str">
        <f aca="false">'Fleet Build'!C13</f>
        <v>Norwegian</v>
      </c>
      <c r="D114" s="9" t="s">
        <v>203</v>
      </c>
      <c r="E114" s="111" t="n">
        <f aca="false">M$6</f>
        <v>2027.25</v>
      </c>
      <c r="F114" s="111" t="n">
        <f aca="false">E114+0.25</f>
        <v>2027.5</v>
      </c>
      <c r="G114" s="126" t="n">
        <f aca="false">'Fleet Build'!E13</f>
        <v>3955.17703064564</v>
      </c>
      <c r="H114" s="127" t="n">
        <f aca="false">'Fleet Build'!F13</f>
        <v>2000</v>
      </c>
      <c r="I114" s="127" t="n">
        <f aca="false">'Fleet Build'!G13</f>
        <v>2099</v>
      </c>
      <c r="J114" s="128" t="n">
        <f aca="false">MAX(0,MIN(F114,I114)-MAX(E114,H114))</f>
        <v>0.25</v>
      </c>
      <c r="K114" s="129" t="n">
        <f aca="false">G114*J114*'Fleet Build'!$K$58/1000000</f>
        <v>0.352322428154369</v>
      </c>
    </row>
    <row r="115" customFormat="false" ht="15" hidden="false" customHeight="false" outlineLevel="0" collapsed="false">
      <c r="B115" s="125" t="str">
        <f aca="false">'Fleet Build'!B13</f>
        <v>Norwegian Encore</v>
      </c>
      <c r="C115" s="125" t="str">
        <f aca="false">'Fleet Build'!C13</f>
        <v>Norwegian</v>
      </c>
      <c r="D115" s="9" t="s">
        <v>204</v>
      </c>
      <c r="E115" s="111" t="n">
        <f aca="false">N$6</f>
        <v>2027.5</v>
      </c>
      <c r="F115" s="111" t="n">
        <f aca="false">E115+0.25</f>
        <v>2027.75</v>
      </c>
      <c r="G115" s="126" t="n">
        <f aca="false">'Fleet Build'!E13</f>
        <v>3955.17703064564</v>
      </c>
      <c r="H115" s="127" t="n">
        <f aca="false">'Fleet Build'!F13</f>
        <v>2000</v>
      </c>
      <c r="I115" s="127" t="n">
        <f aca="false">'Fleet Build'!G13</f>
        <v>2099</v>
      </c>
      <c r="J115" s="128" t="n">
        <f aca="false">MAX(0,MIN(F115,I115)-MAX(E115,H115))</f>
        <v>0.25</v>
      </c>
      <c r="K115" s="129" t="n">
        <f aca="false">G115*J115*'Fleet Build'!$K$58/1000000</f>
        <v>0.352322428154369</v>
      </c>
    </row>
    <row r="116" customFormat="false" ht="15" hidden="false" customHeight="false" outlineLevel="0" collapsed="false">
      <c r="B116" s="125" t="str">
        <f aca="false">'Fleet Build'!B13</f>
        <v>Norwegian Encore</v>
      </c>
      <c r="C116" s="125" t="str">
        <f aca="false">'Fleet Build'!C13</f>
        <v>Norwegian</v>
      </c>
      <c r="D116" s="9" t="s">
        <v>205</v>
      </c>
      <c r="E116" s="111" t="n">
        <f aca="false">O$6</f>
        <v>2027.75</v>
      </c>
      <c r="F116" s="111" t="n">
        <f aca="false">E116+0.25</f>
        <v>2028</v>
      </c>
      <c r="G116" s="126" t="n">
        <f aca="false">'Fleet Build'!E13</f>
        <v>3955.17703064564</v>
      </c>
      <c r="H116" s="127" t="n">
        <f aca="false">'Fleet Build'!F13</f>
        <v>2000</v>
      </c>
      <c r="I116" s="127" t="n">
        <f aca="false">'Fleet Build'!G13</f>
        <v>2099</v>
      </c>
      <c r="J116" s="128" t="n">
        <f aca="false">MAX(0,MIN(F116,I116)-MAX(E116,H116))</f>
        <v>0.25</v>
      </c>
      <c r="K116" s="129" t="n">
        <f aca="false">G116*J116*'Fleet Build'!$K$58/1000000</f>
        <v>0.352322428154369</v>
      </c>
    </row>
    <row r="117" customFormat="false" ht="15" hidden="false" customHeight="false" outlineLevel="0" collapsed="false">
      <c r="B117" s="125" t="str">
        <f aca="false">'Fleet Build'!B14</f>
        <v>Norwegian Bliss</v>
      </c>
      <c r="C117" s="125" t="str">
        <f aca="false">'Fleet Build'!C14</f>
        <v>Norwegian</v>
      </c>
      <c r="D117" s="9" t="s">
        <v>617</v>
      </c>
      <c r="E117" s="111" t="n">
        <f aca="false">D$6</f>
        <v>2025</v>
      </c>
      <c r="F117" s="111" t="n">
        <f aca="false">E117+0.25</f>
        <v>2025.25</v>
      </c>
      <c r="G117" s="126" t="n">
        <f aca="false">'Fleet Build'!E14</f>
        <v>3961.11276405832</v>
      </c>
      <c r="H117" s="127" t="n">
        <f aca="false">'Fleet Build'!F14</f>
        <v>2000</v>
      </c>
      <c r="I117" s="127" t="n">
        <f aca="false">'Fleet Build'!G14</f>
        <v>2099</v>
      </c>
      <c r="J117" s="128" t="n">
        <f aca="false">MAX(0,MIN(F117,I117)-MAX(E117,H117))</f>
        <v>0.25</v>
      </c>
      <c r="K117" s="129" t="n">
        <f aca="false">G117*J117*'Fleet Build'!$K$58/1000000</f>
        <v>0.352851176170608</v>
      </c>
    </row>
    <row r="118" customFormat="false" ht="15" hidden="false" customHeight="false" outlineLevel="0" collapsed="false">
      <c r="B118" s="125" t="str">
        <f aca="false">'Fleet Build'!B14</f>
        <v>Norwegian Bliss</v>
      </c>
      <c r="C118" s="125" t="str">
        <f aca="false">'Fleet Build'!C14</f>
        <v>Norwegian</v>
      </c>
      <c r="D118" s="9" t="s">
        <v>618</v>
      </c>
      <c r="E118" s="111" t="n">
        <f aca="false">E$6</f>
        <v>2025.25</v>
      </c>
      <c r="F118" s="111" t="n">
        <f aca="false">E118+0.25</f>
        <v>2025.5</v>
      </c>
      <c r="G118" s="126" t="n">
        <f aca="false">'Fleet Build'!E14</f>
        <v>3961.11276405832</v>
      </c>
      <c r="H118" s="127" t="n">
        <f aca="false">'Fleet Build'!F14</f>
        <v>2000</v>
      </c>
      <c r="I118" s="127" t="n">
        <f aca="false">'Fleet Build'!G14</f>
        <v>2099</v>
      </c>
      <c r="J118" s="128" t="n">
        <f aca="false">MAX(0,MIN(F118,I118)-MAX(E118,H118))</f>
        <v>0.25</v>
      </c>
      <c r="K118" s="129" t="n">
        <f aca="false">G118*J118*'Fleet Build'!$K$58/1000000</f>
        <v>0.352851176170608</v>
      </c>
    </row>
    <row r="119" customFormat="false" ht="15" hidden="false" customHeight="false" outlineLevel="0" collapsed="false">
      <c r="B119" s="125" t="str">
        <f aca="false">'Fleet Build'!B14</f>
        <v>Norwegian Bliss</v>
      </c>
      <c r="C119" s="125" t="str">
        <f aca="false">'Fleet Build'!C14</f>
        <v>Norwegian</v>
      </c>
      <c r="D119" s="9" t="s">
        <v>619</v>
      </c>
      <c r="E119" s="111" t="n">
        <f aca="false">F$6</f>
        <v>2025.5</v>
      </c>
      <c r="F119" s="111" t="n">
        <f aca="false">E119+0.25</f>
        <v>2025.75</v>
      </c>
      <c r="G119" s="126" t="n">
        <f aca="false">'Fleet Build'!E14</f>
        <v>3961.11276405832</v>
      </c>
      <c r="H119" s="127" t="n">
        <f aca="false">'Fleet Build'!F14</f>
        <v>2000</v>
      </c>
      <c r="I119" s="127" t="n">
        <f aca="false">'Fleet Build'!G14</f>
        <v>2099</v>
      </c>
      <c r="J119" s="128" t="n">
        <f aca="false">MAX(0,MIN(F119,I119)-MAX(E119,H119))</f>
        <v>0.25</v>
      </c>
      <c r="K119" s="129" t="n">
        <f aca="false">G119*J119*'Fleet Build'!$K$58/1000000</f>
        <v>0.352851176170608</v>
      </c>
    </row>
    <row r="120" customFormat="false" ht="15" hidden="false" customHeight="false" outlineLevel="0" collapsed="false">
      <c r="B120" s="125" t="str">
        <f aca="false">'Fleet Build'!B14</f>
        <v>Norwegian Bliss</v>
      </c>
      <c r="C120" s="125" t="str">
        <f aca="false">'Fleet Build'!C14</f>
        <v>Norwegian</v>
      </c>
      <c r="D120" s="9" t="s">
        <v>620</v>
      </c>
      <c r="E120" s="111" t="n">
        <f aca="false">G$6</f>
        <v>2025.75</v>
      </c>
      <c r="F120" s="111" t="n">
        <f aca="false">E120+0.25</f>
        <v>2026</v>
      </c>
      <c r="G120" s="126" t="n">
        <f aca="false">'Fleet Build'!E14</f>
        <v>3961.11276405832</v>
      </c>
      <c r="H120" s="127" t="n">
        <f aca="false">'Fleet Build'!F14</f>
        <v>2000</v>
      </c>
      <c r="I120" s="127" t="n">
        <f aca="false">'Fleet Build'!G14</f>
        <v>2099</v>
      </c>
      <c r="J120" s="128" t="n">
        <f aca="false">MAX(0,MIN(F120,I120)-MAX(E120,H120))</f>
        <v>0.25</v>
      </c>
      <c r="K120" s="129" t="n">
        <f aca="false">G120*J120*'Fleet Build'!$K$58/1000000</f>
        <v>0.352851176170608</v>
      </c>
    </row>
    <row r="121" customFormat="false" ht="15" hidden="false" customHeight="false" outlineLevel="0" collapsed="false">
      <c r="B121" s="125" t="str">
        <f aca="false">'Fleet Build'!B14</f>
        <v>Norwegian Bliss</v>
      </c>
      <c r="C121" s="125" t="str">
        <f aca="false">'Fleet Build'!C14</f>
        <v>Norwegian</v>
      </c>
      <c r="D121" s="9" t="s">
        <v>621</v>
      </c>
      <c r="E121" s="111" t="n">
        <f aca="false">H$6</f>
        <v>2026</v>
      </c>
      <c r="F121" s="111" t="n">
        <f aca="false">E121+0.25</f>
        <v>2026.25</v>
      </c>
      <c r="G121" s="126" t="n">
        <f aca="false">'Fleet Build'!E14</f>
        <v>3961.11276405832</v>
      </c>
      <c r="H121" s="127" t="n">
        <f aca="false">'Fleet Build'!F14</f>
        <v>2000</v>
      </c>
      <c r="I121" s="127" t="n">
        <f aca="false">'Fleet Build'!G14</f>
        <v>2099</v>
      </c>
      <c r="J121" s="128" t="n">
        <f aca="false">MAX(0,MIN(F121,I121)-MAX(E121,H121))</f>
        <v>0.25</v>
      </c>
      <c r="K121" s="129" t="n">
        <f aca="false">G121*J121*'Fleet Build'!$K$58/1000000</f>
        <v>0.352851176170608</v>
      </c>
    </row>
    <row r="122" customFormat="false" ht="15" hidden="false" customHeight="false" outlineLevel="0" collapsed="false">
      <c r="B122" s="125" t="str">
        <f aca="false">'Fleet Build'!B14</f>
        <v>Norwegian Bliss</v>
      </c>
      <c r="C122" s="125" t="str">
        <f aca="false">'Fleet Build'!C14</f>
        <v>Norwegian</v>
      </c>
      <c r="D122" s="9" t="s">
        <v>622</v>
      </c>
      <c r="E122" s="111" t="n">
        <f aca="false">I$6</f>
        <v>2026.25</v>
      </c>
      <c r="F122" s="111" t="n">
        <f aca="false">E122+0.25</f>
        <v>2026.5</v>
      </c>
      <c r="G122" s="126" t="n">
        <f aca="false">'Fleet Build'!E14</f>
        <v>3961.11276405832</v>
      </c>
      <c r="H122" s="127" t="n">
        <f aca="false">'Fleet Build'!F14</f>
        <v>2000</v>
      </c>
      <c r="I122" s="127" t="n">
        <f aca="false">'Fleet Build'!G14</f>
        <v>2099</v>
      </c>
      <c r="J122" s="128" t="n">
        <f aca="false">MAX(0,MIN(F122,I122)-MAX(E122,H122))</f>
        <v>0.25</v>
      </c>
      <c r="K122" s="129" t="n">
        <f aca="false">G122*J122*'Fleet Build'!$K$58/1000000</f>
        <v>0.352851176170608</v>
      </c>
    </row>
    <row r="123" customFormat="false" ht="15" hidden="false" customHeight="false" outlineLevel="0" collapsed="false">
      <c r="B123" s="125" t="str">
        <f aca="false">'Fleet Build'!B14</f>
        <v>Norwegian Bliss</v>
      </c>
      <c r="C123" s="125" t="str">
        <f aca="false">'Fleet Build'!C14</f>
        <v>Norwegian</v>
      </c>
      <c r="D123" s="9" t="s">
        <v>200</v>
      </c>
      <c r="E123" s="111" t="n">
        <f aca="false">J$6</f>
        <v>2026.5</v>
      </c>
      <c r="F123" s="111" t="n">
        <f aca="false">E123+0.25</f>
        <v>2026.75</v>
      </c>
      <c r="G123" s="126" t="n">
        <f aca="false">'Fleet Build'!E14</f>
        <v>3961.11276405832</v>
      </c>
      <c r="H123" s="127" t="n">
        <f aca="false">'Fleet Build'!F14</f>
        <v>2000</v>
      </c>
      <c r="I123" s="127" t="n">
        <f aca="false">'Fleet Build'!G14</f>
        <v>2099</v>
      </c>
      <c r="J123" s="128" t="n">
        <f aca="false">MAX(0,MIN(F123,I123)-MAX(E123,H123))</f>
        <v>0.25</v>
      </c>
      <c r="K123" s="129" t="n">
        <f aca="false">G123*J123*'Fleet Build'!$K$58/1000000</f>
        <v>0.352851176170608</v>
      </c>
    </row>
    <row r="124" customFormat="false" ht="15" hidden="false" customHeight="false" outlineLevel="0" collapsed="false">
      <c r="B124" s="125" t="str">
        <f aca="false">'Fleet Build'!B14</f>
        <v>Norwegian Bliss</v>
      </c>
      <c r="C124" s="125" t="str">
        <f aca="false">'Fleet Build'!C14</f>
        <v>Norwegian</v>
      </c>
      <c r="D124" s="9" t="s">
        <v>201</v>
      </c>
      <c r="E124" s="111" t="n">
        <f aca="false">K$6</f>
        <v>2026.75</v>
      </c>
      <c r="F124" s="111" t="n">
        <f aca="false">E124+0.25</f>
        <v>2027</v>
      </c>
      <c r="G124" s="126" t="n">
        <f aca="false">'Fleet Build'!E14</f>
        <v>3961.11276405832</v>
      </c>
      <c r="H124" s="127" t="n">
        <f aca="false">'Fleet Build'!F14</f>
        <v>2000</v>
      </c>
      <c r="I124" s="127" t="n">
        <f aca="false">'Fleet Build'!G14</f>
        <v>2099</v>
      </c>
      <c r="J124" s="128" t="n">
        <f aca="false">MAX(0,MIN(F124,I124)-MAX(E124,H124))</f>
        <v>0.25</v>
      </c>
      <c r="K124" s="129" t="n">
        <f aca="false">G124*J124*'Fleet Build'!$K$58/1000000</f>
        <v>0.352851176170608</v>
      </c>
    </row>
    <row r="125" customFormat="false" ht="15" hidden="false" customHeight="false" outlineLevel="0" collapsed="false">
      <c r="B125" s="125" t="str">
        <f aca="false">'Fleet Build'!B14</f>
        <v>Norwegian Bliss</v>
      </c>
      <c r="C125" s="125" t="str">
        <f aca="false">'Fleet Build'!C14</f>
        <v>Norwegian</v>
      </c>
      <c r="D125" s="9" t="s">
        <v>202</v>
      </c>
      <c r="E125" s="111" t="n">
        <f aca="false">L$6</f>
        <v>2027</v>
      </c>
      <c r="F125" s="111" t="n">
        <f aca="false">E125+0.25</f>
        <v>2027.25</v>
      </c>
      <c r="G125" s="126" t="n">
        <f aca="false">'Fleet Build'!E14</f>
        <v>3961.11276405832</v>
      </c>
      <c r="H125" s="127" t="n">
        <f aca="false">'Fleet Build'!F14</f>
        <v>2000</v>
      </c>
      <c r="I125" s="127" t="n">
        <f aca="false">'Fleet Build'!G14</f>
        <v>2099</v>
      </c>
      <c r="J125" s="128" t="n">
        <f aca="false">MAX(0,MIN(F125,I125)-MAX(E125,H125))</f>
        <v>0.25</v>
      </c>
      <c r="K125" s="129" t="n">
        <f aca="false">G125*J125*'Fleet Build'!$K$58/1000000</f>
        <v>0.352851176170608</v>
      </c>
    </row>
    <row r="126" customFormat="false" ht="15" hidden="false" customHeight="false" outlineLevel="0" collapsed="false">
      <c r="B126" s="125" t="str">
        <f aca="false">'Fleet Build'!B14</f>
        <v>Norwegian Bliss</v>
      </c>
      <c r="C126" s="125" t="str">
        <f aca="false">'Fleet Build'!C14</f>
        <v>Norwegian</v>
      </c>
      <c r="D126" s="9" t="s">
        <v>203</v>
      </c>
      <c r="E126" s="111" t="n">
        <f aca="false">M$6</f>
        <v>2027.25</v>
      </c>
      <c r="F126" s="111" t="n">
        <f aca="false">E126+0.25</f>
        <v>2027.5</v>
      </c>
      <c r="G126" s="126" t="n">
        <f aca="false">'Fleet Build'!E14</f>
        <v>3961.11276405832</v>
      </c>
      <c r="H126" s="127" t="n">
        <f aca="false">'Fleet Build'!F14</f>
        <v>2000</v>
      </c>
      <c r="I126" s="127" t="n">
        <f aca="false">'Fleet Build'!G14</f>
        <v>2099</v>
      </c>
      <c r="J126" s="128" t="n">
        <f aca="false">MAX(0,MIN(F126,I126)-MAX(E126,H126))</f>
        <v>0.25</v>
      </c>
      <c r="K126" s="129" t="n">
        <f aca="false">G126*J126*'Fleet Build'!$K$58/1000000</f>
        <v>0.352851176170608</v>
      </c>
    </row>
    <row r="127" customFormat="false" ht="15" hidden="false" customHeight="false" outlineLevel="0" collapsed="false">
      <c r="B127" s="125" t="str">
        <f aca="false">'Fleet Build'!B14</f>
        <v>Norwegian Bliss</v>
      </c>
      <c r="C127" s="125" t="str">
        <f aca="false">'Fleet Build'!C14</f>
        <v>Norwegian</v>
      </c>
      <c r="D127" s="9" t="s">
        <v>204</v>
      </c>
      <c r="E127" s="111" t="n">
        <f aca="false">N$6</f>
        <v>2027.5</v>
      </c>
      <c r="F127" s="111" t="n">
        <f aca="false">E127+0.25</f>
        <v>2027.75</v>
      </c>
      <c r="G127" s="126" t="n">
        <f aca="false">'Fleet Build'!E14</f>
        <v>3961.11276405832</v>
      </c>
      <c r="H127" s="127" t="n">
        <f aca="false">'Fleet Build'!F14</f>
        <v>2000</v>
      </c>
      <c r="I127" s="127" t="n">
        <f aca="false">'Fleet Build'!G14</f>
        <v>2099</v>
      </c>
      <c r="J127" s="128" t="n">
        <f aca="false">MAX(0,MIN(F127,I127)-MAX(E127,H127))</f>
        <v>0.25</v>
      </c>
      <c r="K127" s="129" t="n">
        <f aca="false">G127*J127*'Fleet Build'!$K$58/1000000</f>
        <v>0.352851176170608</v>
      </c>
    </row>
    <row r="128" customFormat="false" ht="15" hidden="false" customHeight="false" outlineLevel="0" collapsed="false">
      <c r="B128" s="125" t="str">
        <f aca="false">'Fleet Build'!B14</f>
        <v>Norwegian Bliss</v>
      </c>
      <c r="C128" s="125" t="str">
        <f aca="false">'Fleet Build'!C14</f>
        <v>Norwegian</v>
      </c>
      <c r="D128" s="9" t="s">
        <v>205</v>
      </c>
      <c r="E128" s="111" t="n">
        <f aca="false">O$6</f>
        <v>2027.75</v>
      </c>
      <c r="F128" s="111" t="n">
        <f aca="false">E128+0.25</f>
        <v>2028</v>
      </c>
      <c r="G128" s="126" t="n">
        <f aca="false">'Fleet Build'!E14</f>
        <v>3961.11276405832</v>
      </c>
      <c r="H128" s="127" t="n">
        <f aca="false">'Fleet Build'!F14</f>
        <v>2000</v>
      </c>
      <c r="I128" s="127" t="n">
        <f aca="false">'Fleet Build'!G14</f>
        <v>2099</v>
      </c>
      <c r="J128" s="128" t="n">
        <f aca="false">MAX(0,MIN(F128,I128)-MAX(E128,H128))</f>
        <v>0.25</v>
      </c>
      <c r="K128" s="129" t="n">
        <f aca="false">G128*J128*'Fleet Build'!$K$58/1000000</f>
        <v>0.352851176170608</v>
      </c>
    </row>
    <row r="129" customFormat="false" ht="15" hidden="false" customHeight="false" outlineLevel="0" collapsed="false">
      <c r="B129" s="125" t="str">
        <f aca="false">'Fleet Build'!B15</f>
        <v>Norwegian Joy</v>
      </c>
      <c r="C129" s="125" t="str">
        <f aca="false">'Fleet Build'!C15</f>
        <v>Norwegian</v>
      </c>
      <c r="D129" s="9" t="s">
        <v>617</v>
      </c>
      <c r="E129" s="111" t="n">
        <f aca="false">D$6</f>
        <v>2025</v>
      </c>
      <c r="F129" s="111" t="n">
        <f aca="false">E129+0.25</f>
        <v>2025.25</v>
      </c>
      <c r="G129" s="126" t="n">
        <f aca="false">'Fleet Build'!E15</f>
        <v>3763.25498363582</v>
      </c>
      <c r="H129" s="127" t="n">
        <f aca="false">'Fleet Build'!F15</f>
        <v>2000</v>
      </c>
      <c r="I129" s="127" t="n">
        <f aca="false">'Fleet Build'!G15</f>
        <v>2099</v>
      </c>
      <c r="J129" s="128" t="n">
        <f aca="false">MAX(0,MIN(F129,I129)-MAX(E129,H129))</f>
        <v>0.25</v>
      </c>
      <c r="K129" s="129" t="n">
        <f aca="false">G129*J129*'Fleet Build'!$K$58/1000000</f>
        <v>0.335226242295953</v>
      </c>
    </row>
    <row r="130" customFormat="false" ht="15" hidden="false" customHeight="false" outlineLevel="0" collapsed="false">
      <c r="B130" s="125" t="str">
        <f aca="false">'Fleet Build'!B15</f>
        <v>Norwegian Joy</v>
      </c>
      <c r="C130" s="125" t="str">
        <f aca="false">'Fleet Build'!C15</f>
        <v>Norwegian</v>
      </c>
      <c r="D130" s="9" t="s">
        <v>618</v>
      </c>
      <c r="E130" s="111" t="n">
        <f aca="false">E$6</f>
        <v>2025.25</v>
      </c>
      <c r="F130" s="111" t="n">
        <f aca="false">E130+0.25</f>
        <v>2025.5</v>
      </c>
      <c r="G130" s="126" t="n">
        <f aca="false">'Fleet Build'!E15</f>
        <v>3763.25498363582</v>
      </c>
      <c r="H130" s="127" t="n">
        <f aca="false">'Fleet Build'!F15</f>
        <v>2000</v>
      </c>
      <c r="I130" s="127" t="n">
        <f aca="false">'Fleet Build'!G15</f>
        <v>2099</v>
      </c>
      <c r="J130" s="128" t="n">
        <f aca="false">MAX(0,MIN(F130,I130)-MAX(E130,H130))</f>
        <v>0.25</v>
      </c>
      <c r="K130" s="129" t="n">
        <f aca="false">G130*J130*'Fleet Build'!$K$58/1000000</f>
        <v>0.335226242295953</v>
      </c>
    </row>
    <row r="131" customFormat="false" ht="15" hidden="false" customHeight="false" outlineLevel="0" collapsed="false">
      <c r="B131" s="125" t="str">
        <f aca="false">'Fleet Build'!B15</f>
        <v>Norwegian Joy</v>
      </c>
      <c r="C131" s="125" t="str">
        <f aca="false">'Fleet Build'!C15</f>
        <v>Norwegian</v>
      </c>
      <c r="D131" s="9" t="s">
        <v>619</v>
      </c>
      <c r="E131" s="111" t="n">
        <f aca="false">F$6</f>
        <v>2025.5</v>
      </c>
      <c r="F131" s="111" t="n">
        <f aca="false">E131+0.25</f>
        <v>2025.75</v>
      </c>
      <c r="G131" s="126" t="n">
        <f aca="false">'Fleet Build'!E15</f>
        <v>3763.25498363582</v>
      </c>
      <c r="H131" s="127" t="n">
        <f aca="false">'Fleet Build'!F15</f>
        <v>2000</v>
      </c>
      <c r="I131" s="127" t="n">
        <f aca="false">'Fleet Build'!G15</f>
        <v>2099</v>
      </c>
      <c r="J131" s="128" t="n">
        <f aca="false">MAX(0,MIN(F131,I131)-MAX(E131,H131))</f>
        <v>0.25</v>
      </c>
      <c r="K131" s="129" t="n">
        <f aca="false">G131*J131*'Fleet Build'!$K$58/1000000</f>
        <v>0.335226242295953</v>
      </c>
    </row>
    <row r="132" customFormat="false" ht="15" hidden="false" customHeight="false" outlineLevel="0" collapsed="false">
      <c r="B132" s="125" t="str">
        <f aca="false">'Fleet Build'!B15</f>
        <v>Norwegian Joy</v>
      </c>
      <c r="C132" s="125" t="str">
        <f aca="false">'Fleet Build'!C15</f>
        <v>Norwegian</v>
      </c>
      <c r="D132" s="9" t="s">
        <v>620</v>
      </c>
      <c r="E132" s="111" t="n">
        <f aca="false">G$6</f>
        <v>2025.75</v>
      </c>
      <c r="F132" s="111" t="n">
        <f aca="false">E132+0.25</f>
        <v>2026</v>
      </c>
      <c r="G132" s="126" t="n">
        <f aca="false">'Fleet Build'!E15</f>
        <v>3763.25498363582</v>
      </c>
      <c r="H132" s="127" t="n">
        <f aca="false">'Fleet Build'!F15</f>
        <v>2000</v>
      </c>
      <c r="I132" s="127" t="n">
        <f aca="false">'Fleet Build'!G15</f>
        <v>2099</v>
      </c>
      <c r="J132" s="128" t="n">
        <f aca="false">MAX(0,MIN(F132,I132)-MAX(E132,H132))</f>
        <v>0.25</v>
      </c>
      <c r="K132" s="129" t="n">
        <f aca="false">G132*J132*'Fleet Build'!$K$58/1000000</f>
        <v>0.335226242295953</v>
      </c>
    </row>
    <row r="133" customFormat="false" ht="15" hidden="false" customHeight="false" outlineLevel="0" collapsed="false">
      <c r="B133" s="125" t="str">
        <f aca="false">'Fleet Build'!B15</f>
        <v>Norwegian Joy</v>
      </c>
      <c r="C133" s="125" t="str">
        <f aca="false">'Fleet Build'!C15</f>
        <v>Norwegian</v>
      </c>
      <c r="D133" s="9" t="s">
        <v>621</v>
      </c>
      <c r="E133" s="111" t="n">
        <f aca="false">H$6</f>
        <v>2026</v>
      </c>
      <c r="F133" s="111" t="n">
        <f aca="false">E133+0.25</f>
        <v>2026.25</v>
      </c>
      <c r="G133" s="126" t="n">
        <f aca="false">'Fleet Build'!E15</f>
        <v>3763.25498363582</v>
      </c>
      <c r="H133" s="127" t="n">
        <f aca="false">'Fleet Build'!F15</f>
        <v>2000</v>
      </c>
      <c r="I133" s="127" t="n">
        <f aca="false">'Fleet Build'!G15</f>
        <v>2099</v>
      </c>
      <c r="J133" s="128" t="n">
        <f aca="false">MAX(0,MIN(F133,I133)-MAX(E133,H133))</f>
        <v>0.25</v>
      </c>
      <c r="K133" s="129" t="n">
        <f aca="false">G133*J133*'Fleet Build'!$K$58/1000000</f>
        <v>0.335226242295953</v>
      </c>
    </row>
    <row r="134" customFormat="false" ht="15" hidden="false" customHeight="false" outlineLevel="0" collapsed="false">
      <c r="B134" s="125" t="str">
        <f aca="false">'Fleet Build'!B15</f>
        <v>Norwegian Joy</v>
      </c>
      <c r="C134" s="125" t="str">
        <f aca="false">'Fleet Build'!C15</f>
        <v>Norwegian</v>
      </c>
      <c r="D134" s="9" t="s">
        <v>622</v>
      </c>
      <c r="E134" s="111" t="n">
        <f aca="false">I$6</f>
        <v>2026.25</v>
      </c>
      <c r="F134" s="111" t="n">
        <f aca="false">E134+0.25</f>
        <v>2026.5</v>
      </c>
      <c r="G134" s="126" t="n">
        <f aca="false">'Fleet Build'!E15</f>
        <v>3763.25498363582</v>
      </c>
      <c r="H134" s="127" t="n">
        <f aca="false">'Fleet Build'!F15</f>
        <v>2000</v>
      </c>
      <c r="I134" s="127" t="n">
        <f aca="false">'Fleet Build'!G15</f>
        <v>2099</v>
      </c>
      <c r="J134" s="128" t="n">
        <f aca="false">MAX(0,MIN(F134,I134)-MAX(E134,H134))</f>
        <v>0.25</v>
      </c>
      <c r="K134" s="129" t="n">
        <f aca="false">G134*J134*'Fleet Build'!$K$58/1000000</f>
        <v>0.335226242295953</v>
      </c>
    </row>
    <row r="135" customFormat="false" ht="15" hidden="false" customHeight="false" outlineLevel="0" collapsed="false">
      <c r="B135" s="125" t="str">
        <f aca="false">'Fleet Build'!B15</f>
        <v>Norwegian Joy</v>
      </c>
      <c r="C135" s="125" t="str">
        <f aca="false">'Fleet Build'!C15</f>
        <v>Norwegian</v>
      </c>
      <c r="D135" s="9" t="s">
        <v>200</v>
      </c>
      <c r="E135" s="111" t="n">
        <f aca="false">J$6</f>
        <v>2026.5</v>
      </c>
      <c r="F135" s="111" t="n">
        <f aca="false">E135+0.25</f>
        <v>2026.75</v>
      </c>
      <c r="G135" s="126" t="n">
        <f aca="false">'Fleet Build'!E15</f>
        <v>3763.25498363582</v>
      </c>
      <c r="H135" s="127" t="n">
        <f aca="false">'Fleet Build'!F15</f>
        <v>2000</v>
      </c>
      <c r="I135" s="127" t="n">
        <f aca="false">'Fleet Build'!G15</f>
        <v>2099</v>
      </c>
      <c r="J135" s="128" t="n">
        <f aca="false">MAX(0,MIN(F135,I135)-MAX(E135,H135))</f>
        <v>0.25</v>
      </c>
      <c r="K135" s="129" t="n">
        <f aca="false">G135*J135*'Fleet Build'!$K$58/1000000</f>
        <v>0.335226242295953</v>
      </c>
    </row>
    <row r="136" customFormat="false" ht="15" hidden="false" customHeight="false" outlineLevel="0" collapsed="false">
      <c r="B136" s="125" t="str">
        <f aca="false">'Fleet Build'!B15</f>
        <v>Norwegian Joy</v>
      </c>
      <c r="C136" s="125" t="str">
        <f aca="false">'Fleet Build'!C15</f>
        <v>Norwegian</v>
      </c>
      <c r="D136" s="9" t="s">
        <v>201</v>
      </c>
      <c r="E136" s="111" t="n">
        <f aca="false">K$6</f>
        <v>2026.75</v>
      </c>
      <c r="F136" s="111" t="n">
        <f aca="false">E136+0.25</f>
        <v>2027</v>
      </c>
      <c r="G136" s="126" t="n">
        <f aca="false">'Fleet Build'!E15</f>
        <v>3763.25498363582</v>
      </c>
      <c r="H136" s="127" t="n">
        <f aca="false">'Fleet Build'!F15</f>
        <v>2000</v>
      </c>
      <c r="I136" s="127" t="n">
        <f aca="false">'Fleet Build'!G15</f>
        <v>2099</v>
      </c>
      <c r="J136" s="128" t="n">
        <f aca="false">MAX(0,MIN(F136,I136)-MAX(E136,H136))</f>
        <v>0.25</v>
      </c>
      <c r="K136" s="129" t="n">
        <f aca="false">G136*J136*'Fleet Build'!$K$58/1000000</f>
        <v>0.335226242295953</v>
      </c>
    </row>
    <row r="137" customFormat="false" ht="15" hidden="false" customHeight="false" outlineLevel="0" collapsed="false">
      <c r="B137" s="125" t="str">
        <f aca="false">'Fleet Build'!B15</f>
        <v>Norwegian Joy</v>
      </c>
      <c r="C137" s="125" t="str">
        <f aca="false">'Fleet Build'!C15</f>
        <v>Norwegian</v>
      </c>
      <c r="D137" s="9" t="s">
        <v>202</v>
      </c>
      <c r="E137" s="111" t="n">
        <f aca="false">L$6</f>
        <v>2027</v>
      </c>
      <c r="F137" s="111" t="n">
        <f aca="false">E137+0.25</f>
        <v>2027.25</v>
      </c>
      <c r="G137" s="126" t="n">
        <f aca="false">'Fleet Build'!E15</f>
        <v>3763.25498363582</v>
      </c>
      <c r="H137" s="127" t="n">
        <f aca="false">'Fleet Build'!F15</f>
        <v>2000</v>
      </c>
      <c r="I137" s="127" t="n">
        <f aca="false">'Fleet Build'!G15</f>
        <v>2099</v>
      </c>
      <c r="J137" s="128" t="n">
        <f aca="false">MAX(0,MIN(F137,I137)-MAX(E137,H137))</f>
        <v>0.25</v>
      </c>
      <c r="K137" s="129" t="n">
        <f aca="false">G137*J137*'Fleet Build'!$K$58/1000000</f>
        <v>0.335226242295953</v>
      </c>
    </row>
    <row r="138" customFormat="false" ht="15" hidden="false" customHeight="false" outlineLevel="0" collapsed="false">
      <c r="B138" s="125" t="str">
        <f aca="false">'Fleet Build'!B15</f>
        <v>Norwegian Joy</v>
      </c>
      <c r="C138" s="125" t="str">
        <f aca="false">'Fleet Build'!C15</f>
        <v>Norwegian</v>
      </c>
      <c r="D138" s="9" t="s">
        <v>203</v>
      </c>
      <c r="E138" s="111" t="n">
        <f aca="false">M$6</f>
        <v>2027.25</v>
      </c>
      <c r="F138" s="111" t="n">
        <f aca="false">E138+0.25</f>
        <v>2027.5</v>
      </c>
      <c r="G138" s="126" t="n">
        <f aca="false">'Fleet Build'!E15</f>
        <v>3763.25498363582</v>
      </c>
      <c r="H138" s="127" t="n">
        <f aca="false">'Fleet Build'!F15</f>
        <v>2000</v>
      </c>
      <c r="I138" s="127" t="n">
        <f aca="false">'Fleet Build'!G15</f>
        <v>2099</v>
      </c>
      <c r="J138" s="128" t="n">
        <f aca="false">MAX(0,MIN(F138,I138)-MAX(E138,H138))</f>
        <v>0.25</v>
      </c>
      <c r="K138" s="129" t="n">
        <f aca="false">G138*J138*'Fleet Build'!$K$58/1000000</f>
        <v>0.335226242295953</v>
      </c>
    </row>
    <row r="139" customFormat="false" ht="15" hidden="false" customHeight="false" outlineLevel="0" collapsed="false">
      <c r="B139" s="125" t="str">
        <f aca="false">'Fleet Build'!B15</f>
        <v>Norwegian Joy</v>
      </c>
      <c r="C139" s="125" t="str">
        <f aca="false">'Fleet Build'!C15</f>
        <v>Norwegian</v>
      </c>
      <c r="D139" s="9" t="s">
        <v>204</v>
      </c>
      <c r="E139" s="111" t="n">
        <f aca="false">N$6</f>
        <v>2027.5</v>
      </c>
      <c r="F139" s="111" t="n">
        <f aca="false">E139+0.25</f>
        <v>2027.75</v>
      </c>
      <c r="G139" s="126" t="n">
        <f aca="false">'Fleet Build'!E15</f>
        <v>3763.25498363582</v>
      </c>
      <c r="H139" s="127" t="n">
        <f aca="false">'Fleet Build'!F15</f>
        <v>2000</v>
      </c>
      <c r="I139" s="127" t="n">
        <f aca="false">'Fleet Build'!G15</f>
        <v>2099</v>
      </c>
      <c r="J139" s="128" t="n">
        <f aca="false">MAX(0,MIN(F139,I139)-MAX(E139,H139))</f>
        <v>0.25</v>
      </c>
      <c r="K139" s="129" t="n">
        <f aca="false">G139*J139*'Fleet Build'!$K$58/1000000</f>
        <v>0.335226242295953</v>
      </c>
    </row>
    <row r="140" customFormat="false" ht="15" hidden="false" customHeight="false" outlineLevel="0" collapsed="false">
      <c r="B140" s="125" t="str">
        <f aca="false">'Fleet Build'!B15</f>
        <v>Norwegian Joy</v>
      </c>
      <c r="C140" s="125" t="str">
        <f aca="false">'Fleet Build'!C15</f>
        <v>Norwegian</v>
      </c>
      <c r="D140" s="9" t="s">
        <v>205</v>
      </c>
      <c r="E140" s="111" t="n">
        <f aca="false">O$6</f>
        <v>2027.75</v>
      </c>
      <c r="F140" s="111" t="n">
        <f aca="false">E140+0.25</f>
        <v>2028</v>
      </c>
      <c r="G140" s="126" t="n">
        <f aca="false">'Fleet Build'!E15</f>
        <v>3763.25498363582</v>
      </c>
      <c r="H140" s="127" t="n">
        <f aca="false">'Fleet Build'!F15</f>
        <v>2000</v>
      </c>
      <c r="I140" s="127" t="n">
        <f aca="false">'Fleet Build'!G15</f>
        <v>2099</v>
      </c>
      <c r="J140" s="128" t="n">
        <f aca="false">MAX(0,MIN(F140,I140)-MAX(E140,H140))</f>
        <v>0.25</v>
      </c>
      <c r="K140" s="129" t="n">
        <f aca="false">G140*J140*'Fleet Build'!$K$58/1000000</f>
        <v>0.335226242295953</v>
      </c>
    </row>
    <row r="141" customFormat="false" ht="15" hidden="false" customHeight="false" outlineLevel="0" collapsed="false">
      <c r="B141" s="125" t="str">
        <f aca="false">'Fleet Build'!B16</f>
        <v>Norwegian Escape</v>
      </c>
      <c r="C141" s="125" t="str">
        <f aca="false">'Fleet Build'!C16</f>
        <v>Norwegian</v>
      </c>
      <c r="D141" s="9" t="s">
        <v>617</v>
      </c>
      <c r="E141" s="111" t="n">
        <f aca="false">D$6</f>
        <v>2025</v>
      </c>
      <c r="F141" s="111" t="n">
        <f aca="false">E141+0.25</f>
        <v>2025.25</v>
      </c>
      <c r="G141" s="126" t="n">
        <f aca="false">'Fleet Build'!E16</f>
        <v>4220.30645641178</v>
      </c>
      <c r="H141" s="127" t="n">
        <f aca="false">'Fleet Build'!F16</f>
        <v>2000</v>
      </c>
      <c r="I141" s="127" t="n">
        <f aca="false">'Fleet Build'!G16</f>
        <v>2099</v>
      </c>
      <c r="J141" s="128" t="n">
        <f aca="false">MAX(0,MIN(F141,I141)-MAX(E141,H141))</f>
        <v>0.25</v>
      </c>
      <c r="K141" s="129" t="n">
        <f aca="false">G141*J141*'Fleet Build'!$K$58/1000000</f>
        <v>0.375939839546407</v>
      </c>
    </row>
    <row r="142" customFormat="false" ht="15" hidden="false" customHeight="false" outlineLevel="0" collapsed="false">
      <c r="B142" s="125" t="str">
        <f aca="false">'Fleet Build'!B16</f>
        <v>Norwegian Escape</v>
      </c>
      <c r="C142" s="125" t="str">
        <f aca="false">'Fleet Build'!C16</f>
        <v>Norwegian</v>
      </c>
      <c r="D142" s="9" t="s">
        <v>618</v>
      </c>
      <c r="E142" s="111" t="n">
        <f aca="false">E$6</f>
        <v>2025.25</v>
      </c>
      <c r="F142" s="111" t="n">
        <f aca="false">E142+0.25</f>
        <v>2025.5</v>
      </c>
      <c r="G142" s="126" t="n">
        <f aca="false">'Fleet Build'!E16</f>
        <v>4220.30645641178</v>
      </c>
      <c r="H142" s="127" t="n">
        <f aca="false">'Fleet Build'!F16</f>
        <v>2000</v>
      </c>
      <c r="I142" s="127" t="n">
        <f aca="false">'Fleet Build'!G16</f>
        <v>2099</v>
      </c>
      <c r="J142" s="128" t="n">
        <f aca="false">MAX(0,MIN(F142,I142)-MAX(E142,H142))</f>
        <v>0.25</v>
      </c>
      <c r="K142" s="129" t="n">
        <f aca="false">G142*J142*'Fleet Build'!$K$58/1000000</f>
        <v>0.375939839546407</v>
      </c>
    </row>
    <row r="143" customFormat="false" ht="15" hidden="false" customHeight="false" outlineLevel="0" collapsed="false">
      <c r="B143" s="125" t="str">
        <f aca="false">'Fleet Build'!B16</f>
        <v>Norwegian Escape</v>
      </c>
      <c r="C143" s="125" t="str">
        <f aca="false">'Fleet Build'!C16</f>
        <v>Norwegian</v>
      </c>
      <c r="D143" s="9" t="s">
        <v>619</v>
      </c>
      <c r="E143" s="111" t="n">
        <f aca="false">F$6</f>
        <v>2025.5</v>
      </c>
      <c r="F143" s="111" t="n">
        <f aca="false">E143+0.25</f>
        <v>2025.75</v>
      </c>
      <c r="G143" s="126" t="n">
        <f aca="false">'Fleet Build'!E16</f>
        <v>4220.30645641178</v>
      </c>
      <c r="H143" s="127" t="n">
        <f aca="false">'Fleet Build'!F16</f>
        <v>2000</v>
      </c>
      <c r="I143" s="127" t="n">
        <f aca="false">'Fleet Build'!G16</f>
        <v>2099</v>
      </c>
      <c r="J143" s="128" t="n">
        <f aca="false">MAX(0,MIN(F143,I143)-MAX(E143,H143))</f>
        <v>0.25</v>
      </c>
      <c r="K143" s="129" t="n">
        <f aca="false">G143*J143*'Fleet Build'!$K$58/1000000</f>
        <v>0.375939839546407</v>
      </c>
    </row>
    <row r="144" customFormat="false" ht="15" hidden="false" customHeight="false" outlineLevel="0" collapsed="false">
      <c r="B144" s="125" t="str">
        <f aca="false">'Fleet Build'!B16</f>
        <v>Norwegian Escape</v>
      </c>
      <c r="C144" s="125" t="str">
        <f aca="false">'Fleet Build'!C16</f>
        <v>Norwegian</v>
      </c>
      <c r="D144" s="9" t="s">
        <v>620</v>
      </c>
      <c r="E144" s="111" t="n">
        <f aca="false">G$6</f>
        <v>2025.75</v>
      </c>
      <c r="F144" s="111" t="n">
        <f aca="false">E144+0.25</f>
        <v>2026</v>
      </c>
      <c r="G144" s="126" t="n">
        <f aca="false">'Fleet Build'!E16</f>
        <v>4220.30645641178</v>
      </c>
      <c r="H144" s="127" t="n">
        <f aca="false">'Fleet Build'!F16</f>
        <v>2000</v>
      </c>
      <c r="I144" s="127" t="n">
        <f aca="false">'Fleet Build'!G16</f>
        <v>2099</v>
      </c>
      <c r="J144" s="128" t="n">
        <f aca="false">MAX(0,MIN(F144,I144)-MAX(E144,H144))</f>
        <v>0.25</v>
      </c>
      <c r="K144" s="129" t="n">
        <f aca="false">G144*J144*'Fleet Build'!$K$58/1000000</f>
        <v>0.375939839546407</v>
      </c>
    </row>
    <row r="145" customFormat="false" ht="15" hidden="false" customHeight="false" outlineLevel="0" collapsed="false">
      <c r="B145" s="125" t="str">
        <f aca="false">'Fleet Build'!B16</f>
        <v>Norwegian Escape</v>
      </c>
      <c r="C145" s="125" t="str">
        <f aca="false">'Fleet Build'!C16</f>
        <v>Norwegian</v>
      </c>
      <c r="D145" s="9" t="s">
        <v>621</v>
      </c>
      <c r="E145" s="111" t="n">
        <f aca="false">H$6</f>
        <v>2026</v>
      </c>
      <c r="F145" s="111" t="n">
        <f aca="false">E145+0.25</f>
        <v>2026.25</v>
      </c>
      <c r="G145" s="126" t="n">
        <f aca="false">'Fleet Build'!E16</f>
        <v>4220.30645641178</v>
      </c>
      <c r="H145" s="127" t="n">
        <f aca="false">'Fleet Build'!F16</f>
        <v>2000</v>
      </c>
      <c r="I145" s="127" t="n">
        <f aca="false">'Fleet Build'!G16</f>
        <v>2099</v>
      </c>
      <c r="J145" s="128" t="n">
        <f aca="false">MAX(0,MIN(F145,I145)-MAX(E145,H145))</f>
        <v>0.25</v>
      </c>
      <c r="K145" s="129" t="n">
        <f aca="false">G145*J145*'Fleet Build'!$K$58/1000000</f>
        <v>0.375939839546407</v>
      </c>
    </row>
    <row r="146" customFormat="false" ht="15" hidden="false" customHeight="false" outlineLevel="0" collapsed="false">
      <c r="B146" s="125" t="str">
        <f aca="false">'Fleet Build'!B16</f>
        <v>Norwegian Escape</v>
      </c>
      <c r="C146" s="125" t="str">
        <f aca="false">'Fleet Build'!C16</f>
        <v>Norwegian</v>
      </c>
      <c r="D146" s="9" t="s">
        <v>622</v>
      </c>
      <c r="E146" s="111" t="n">
        <f aca="false">I$6</f>
        <v>2026.25</v>
      </c>
      <c r="F146" s="111" t="n">
        <f aca="false">E146+0.25</f>
        <v>2026.5</v>
      </c>
      <c r="G146" s="126" t="n">
        <f aca="false">'Fleet Build'!E16</f>
        <v>4220.30645641178</v>
      </c>
      <c r="H146" s="127" t="n">
        <f aca="false">'Fleet Build'!F16</f>
        <v>2000</v>
      </c>
      <c r="I146" s="127" t="n">
        <f aca="false">'Fleet Build'!G16</f>
        <v>2099</v>
      </c>
      <c r="J146" s="128" t="n">
        <f aca="false">MAX(0,MIN(F146,I146)-MAX(E146,H146))</f>
        <v>0.25</v>
      </c>
      <c r="K146" s="129" t="n">
        <f aca="false">G146*J146*'Fleet Build'!$K$58/1000000</f>
        <v>0.375939839546407</v>
      </c>
    </row>
    <row r="147" customFormat="false" ht="15" hidden="false" customHeight="false" outlineLevel="0" collapsed="false">
      <c r="B147" s="125" t="str">
        <f aca="false">'Fleet Build'!B16</f>
        <v>Norwegian Escape</v>
      </c>
      <c r="C147" s="125" t="str">
        <f aca="false">'Fleet Build'!C16</f>
        <v>Norwegian</v>
      </c>
      <c r="D147" s="9" t="s">
        <v>200</v>
      </c>
      <c r="E147" s="111" t="n">
        <f aca="false">J$6</f>
        <v>2026.5</v>
      </c>
      <c r="F147" s="111" t="n">
        <f aca="false">E147+0.25</f>
        <v>2026.75</v>
      </c>
      <c r="G147" s="126" t="n">
        <f aca="false">'Fleet Build'!E16</f>
        <v>4220.30645641178</v>
      </c>
      <c r="H147" s="127" t="n">
        <f aca="false">'Fleet Build'!F16</f>
        <v>2000</v>
      </c>
      <c r="I147" s="127" t="n">
        <f aca="false">'Fleet Build'!G16</f>
        <v>2099</v>
      </c>
      <c r="J147" s="128" t="n">
        <f aca="false">MAX(0,MIN(F147,I147)-MAX(E147,H147))</f>
        <v>0.25</v>
      </c>
      <c r="K147" s="129" t="n">
        <f aca="false">G147*J147*'Fleet Build'!$K$58/1000000</f>
        <v>0.375939839546407</v>
      </c>
    </row>
    <row r="148" customFormat="false" ht="15" hidden="false" customHeight="false" outlineLevel="0" collapsed="false">
      <c r="B148" s="125" t="str">
        <f aca="false">'Fleet Build'!B16</f>
        <v>Norwegian Escape</v>
      </c>
      <c r="C148" s="125" t="str">
        <f aca="false">'Fleet Build'!C16</f>
        <v>Norwegian</v>
      </c>
      <c r="D148" s="9" t="s">
        <v>201</v>
      </c>
      <c r="E148" s="111" t="n">
        <f aca="false">K$6</f>
        <v>2026.75</v>
      </c>
      <c r="F148" s="111" t="n">
        <f aca="false">E148+0.25</f>
        <v>2027</v>
      </c>
      <c r="G148" s="126" t="n">
        <f aca="false">'Fleet Build'!E16</f>
        <v>4220.30645641178</v>
      </c>
      <c r="H148" s="127" t="n">
        <f aca="false">'Fleet Build'!F16</f>
        <v>2000</v>
      </c>
      <c r="I148" s="127" t="n">
        <f aca="false">'Fleet Build'!G16</f>
        <v>2099</v>
      </c>
      <c r="J148" s="128" t="n">
        <f aca="false">MAX(0,MIN(F148,I148)-MAX(E148,H148))</f>
        <v>0.25</v>
      </c>
      <c r="K148" s="129" t="n">
        <f aca="false">G148*J148*'Fleet Build'!$K$58/1000000</f>
        <v>0.375939839546407</v>
      </c>
    </row>
    <row r="149" customFormat="false" ht="15" hidden="false" customHeight="false" outlineLevel="0" collapsed="false">
      <c r="B149" s="125" t="str">
        <f aca="false">'Fleet Build'!B16</f>
        <v>Norwegian Escape</v>
      </c>
      <c r="C149" s="125" t="str">
        <f aca="false">'Fleet Build'!C16</f>
        <v>Norwegian</v>
      </c>
      <c r="D149" s="9" t="s">
        <v>202</v>
      </c>
      <c r="E149" s="111" t="n">
        <f aca="false">L$6</f>
        <v>2027</v>
      </c>
      <c r="F149" s="111" t="n">
        <f aca="false">E149+0.25</f>
        <v>2027.25</v>
      </c>
      <c r="G149" s="126" t="n">
        <f aca="false">'Fleet Build'!E16</f>
        <v>4220.30645641178</v>
      </c>
      <c r="H149" s="127" t="n">
        <f aca="false">'Fleet Build'!F16</f>
        <v>2000</v>
      </c>
      <c r="I149" s="127" t="n">
        <f aca="false">'Fleet Build'!G16</f>
        <v>2099</v>
      </c>
      <c r="J149" s="128" t="n">
        <f aca="false">MAX(0,MIN(F149,I149)-MAX(E149,H149))</f>
        <v>0.25</v>
      </c>
      <c r="K149" s="129" t="n">
        <f aca="false">G149*J149*'Fleet Build'!$K$58/1000000</f>
        <v>0.375939839546407</v>
      </c>
    </row>
    <row r="150" customFormat="false" ht="15" hidden="false" customHeight="false" outlineLevel="0" collapsed="false">
      <c r="B150" s="125" t="str">
        <f aca="false">'Fleet Build'!B16</f>
        <v>Norwegian Escape</v>
      </c>
      <c r="C150" s="125" t="str">
        <f aca="false">'Fleet Build'!C16</f>
        <v>Norwegian</v>
      </c>
      <c r="D150" s="9" t="s">
        <v>203</v>
      </c>
      <c r="E150" s="111" t="n">
        <f aca="false">M$6</f>
        <v>2027.25</v>
      </c>
      <c r="F150" s="111" t="n">
        <f aca="false">E150+0.25</f>
        <v>2027.5</v>
      </c>
      <c r="G150" s="126" t="n">
        <f aca="false">'Fleet Build'!E16</f>
        <v>4220.30645641178</v>
      </c>
      <c r="H150" s="127" t="n">
        <f aca="false">'Fleet Build'!F16</f>
        <v>2000</v>
      </c>
      <c r="I150" s="127" t="n">
        <f aca="false">'Fleet Build'!G16</f>
        <v>2099</v>
      </c>
      <c r="J150" s="128" t="n">
        <f aca="false">MAX(0,MIN(F150,I150)-MAX(E150,H150))</f>
        <v>0.25</v>
      </c>
      <c r="K150" s="129" t="n">
        <f aca="false">G150*J150*'Fleet Build'!$K$58/1000000</f>
        <v>0.375939839546407</v>
      </c>
    </row>
    <row r="151" customFormat="false" ht="15" hidden="false" customHeight="false" outlineLevel="0" collapsed="false">
      <c r="B151" s="125" t="str">
        <f aca="false">'Fleet Build'!B16</f>
        <v>Norwegian Escape</v>
      </c>
      <c r="C151" s="125" t="str">
        <f aca="false">'Fleet Build'!C16</f>
        <v>Norwegian</v>
      </c>
      <c r="D151" s="9" t="s">
        <v>204</v>
      </c>
      <c r="E151" s="111" t="n">
        <f aca="false">N$6</f>
        <v>2027.5</v>
      </c>
      <c r="F151" s="111" t="n">
        <f aca="false">E151+0.25</f>
        <v>2027.75</v>
      </c>
      <c r="G151" s="126" t="n">
        <f aca="false">'Fleet Build'!E16</f>
        <v>4220.30645641178</v>
      </c>
      <c r="H151" s="127" t="n">
        <f aca="false">'Fleet Build'!F16</f>
        <v>2000</v>
      </c>
      <c r="I151" s="127" t="n">
        <f aca="false">'Fleet Build'!G16</f>
        <v>2099</v>
      </c>
      <c r="J151" s="128" t="n">
        <f aca="false">MAX(0,MIN(F151,I151)-MAX(E151,H151))</f>
        <v>0.25</v>
      </c>
      <c r="K151" s="129" t="n">
        <f aca="false">G151*J151*'Fleet Build'!$K$58/1000000</f>
        <v>0.375939839546407</v>
      </c>
    </row>
    <row r="152" customFormat="false" ht="15" hidden="false" customHeight="false" outlineLevel="0" collapsed="false">
      <c r="B152" s="125" t="str">
        <f aca="false">'Fleet Build'!B16</f>
        <v>Norwegian Escape</v>
      </c>
      <c r="C152" s="125" t="str">
        <f aca="false">'Fleet Build'!C16</f>
        <v>Norwegian</v>
      </c>
      <c r="D152" s="9" t="s">
        <v>205</v>
      </c>
      <c r="E152" s="111" t="n">
        <f aca="false">O$6</f>
        <v>2027.75</v>
      </c>
      <c r="F152" s="111" t="n">
        <f aca="false">E152+0.25</f>
        <v>2028</v>
      </c>
      <c r="G152" s="126" t="n">
        <f aca="false">'Fleet Build'!E16</f>
        <v>4220.30645641178</v>
      </c>
      <c r="H152" s="127" t="n">
        <f aca="false">'Fleet Build'!F16</f>
        <v>2000</v>
      </c>
      <c r="I152" s="127" t="n">
        <f aca="false">'Fleet Build'!G16</f>
        <v>2099</v>
      </c>
      <c r="J152" s="128" t="n">
        <f aca="false">MAX(0,MIN(F152,I152)-MAX(E152,H152))</f>
        <v>0.25</v>
      </c>
      <c r="K152" s="129" t="n">
        <f aca="false">G152*J152*'Fleet Build'!$K$58/1000000</f>
        <v>0.375939839546407</v>
      </c>
    </row>
    <row r="153" customFormat="false" ht="15" hidden="false" customHeight="false" outlineLevel="0" collapsed="false">
      <c r="B153" s="125" t="str">
        <f aca="false">'Fleet Build'!B17</f>
        <v>Norwegian Getaway</v>
      </c>
      <c r="C153" s="125" t="str">
        <f aca="false">'Fleet Build'!C17</f>
        <v>Norwegian</v>
      </c>
      <c r="D153" s="9" t="s">
        <v>617</v>
      </c>
      <c r="E153" s="111" t="n">
        <f aca="false">D$6</f>
        <v>2025</v>
      </c>
      <c r="F153" s="111" t="n">
        <f aca="false">E153+0.25</f>
        <v>2025.25</v>
      </c>
      <c r="G153" s="126" t="n">
        <f aca="false">'Fleet Build'!E17</f>
        <v>3920.55191907171</v>
      </c>
      <c r="H153" s="127" t="n">
        <f aca="false">'Fleet Build'!F17</f>
        <v>2000</v>
      </c>
      <c r="I153" s="127" t="n">
        <f aca="false">'Fleet Build'!G17</f>
        <v>2099</v>
      </c>
      <c r="J153" s="128" t="n">
        <f aca="false">MAX(0,MIN(F153,I153)-MAX(E153,H153))</f>
        <v>0.25</v>
      </c>
      <c r="K153" s="129" t="n">
        <f aca="false">G153*J153*'Fleet Build'!$K$58/1000000</f>
        <v>0.349238064726304</v>
      </c>
    </row>
    <row r="154" customFormat="false" ht="15" hidden="false" customHeight="false" outlineLevel="0" collapsed="false">
      <c r="B154" s="125" t="str">
        <f aca="false">'Fleet Build'!B17</f>
        <v>Norwegian Getaway</v>
      </c>
      <c r="C154" s="125" t="str">
        <f aca="false">'Fleet Build'!C17</f>
        <v>Norwegian</v>
      </c>
      <c r="D154" s="9" t="s">
        <v>618</v>
      </c>
      <c r="E154" s="111" t="n">
        <f aca="false">E$6</f>
        <v>2025.25</v>
      </c>
      <c r="F154" s="111" t="n">
        <f aca="false">E154+0.25</f>
        <v>2025.5</v>
      </c>
      <c r="G154" s="126" t="n">
        <f aca="false">'Fleet Build'!E17</f>
        <v>3920.55191907171</v>
      </c>
      <c r="H154" s="127" t="n">
        <f aca="false">'Fleet Build'!F17</f>
        <v>2000</v>
      </c>
      <c r="I154" s="127" t="n">
        <f aca="false">'Fleet Build'!G17</f>
        <v>2099</v>
      </c>
      <c r="J154" s="128" t="n">
        <f aca="false">MAX(0,MIN(F154,I154)-MAX(E154,H154))</f>
        <v>0.25</v>
      </c>
      <c r="K154" s="129" t="n">
        <f aca="false">G154*J154*'Fleet Build'!$K$58/1000000</f>
        <v>0.349238064726304</v>
      </c>
    </row>
    <row r="155" customFormat="false" ht="15" hidden="false" customHeight="false" outlineLevel="0" collapsed="false">
      <c r="B155" s="125" t="str">
        <f aca="false">'Fleet Build'!B17</f>
        <v>Norwegian Getaway</v>
      </c>
      <c r="C155" s="125" t="str">
        <f aca="false">'Fleet Build'!C17</f>
        <v>Norwegian</v>
      </c>
      <c r="D155" s="9" t="s">
        <v>619</v>
      </c>
      <c r="E155" s="111" t="n">
        <f aca="false">F$6</f>
        <v>2025.5</v>
      </c>
      <c r="F155" s="111" t="n">
        <f aca="false">E155+0.25</f>
        <v>2025.75</v>
      </c>
      <c r="G155" s="126" t="n">
        <f aca="false">'Fleet Build'!E17</f>
        <v>3920.55191907171</v>
      </c>
      <c r="H155" s="127" t="n">
        <f aca="false">'Fleet Build'!F17</f>
        <v>2000</v>
      </c>
      <c r="I155" s="127" t="n">
        <f aca="false">'Fleet Build'!G17</f>
        <v>2099</v>
      </c>
      <c r="J155" s="128" t="n">
        <f aca="false">MAX(0,MIN(F155,I155)-MAX(E155,H155))</f>
        <v>0.25</v>
      </c>
      <c r="K155" s="129" t="n">
        <f aca="false">G155*J155*'Fleet Build'!$K$58/1000000</f>
        <v>0.349238064726304</v>
      </c>
    </row>
    <row r="156" customFormat="false" ht="15" hidden="false" customHeight="false" outlineLevel="0" collapsed="false">
      <c r="B156" s="125" t="str">
        <f aca="false">'Fleet Build'!B17</f>
        <v>Norwegian Getaway</v>
      </c>
      <c r="C156" s="125" t="str">
        <f aca="false">'Fleet Build'!C17</f>
        <v>Norwegian</v>
      </c>
      <c r="D156" s="9" t="s">
        <v>620</v>
      </c>
      <c r="E156" s="111" t="n">
        <f aca="false">G$6</f>
        <v>2025.75</v>
      </c>
      <c r="F156" s="111" t="n">
        <f aca="false">E156+0.25</f>
        <v>2026</v>
      </c>
      <c r="G156" s="126" t="n">
        <f aca="false">'Fleet Build'!E17</f>
        <v>3920.55191907171</v>
      </c>
      <c r="H156" s="127" t="n">
        <f aca="false">'Fleet Build'!F17</f>
        <v>2000</v>
      </c>
      <c r="I156" s="127" t="n">
        <f aca="false">'Fleet Build'!G17</f>
        <v>2099</v>
      </c>
      <c r="J156" s="128" t="n">
        <f aca="false">MAX(0,MIN(F156,I156)-MAX(E156,H156))</f>
        <v>0.25</v>
      </c>
      <c r="K156" s="129" t="n">
        <f aca="false">G156*J156*'Fleet Build'!$K$58/1000000</f>
        <v>0.349238064726304</v>
      </c>
    </row>
    <row r="157" customFormat="false" ht="15" hidden="false" customHeight="false" outlineLevel="0" collapsed="false">
      <c r="B157" s="125" t="str">
        <f aca="false">'Fleet Build'!B17</f>
        <v>Norwegian Getaway</v>
      </c>
      <c r="C157" s="125" t="str">
        <f aca="false">'Fleet Build'!C17</f>
        <v>Norwegian</v>
      </c>
      <c r="D157" s="9" t="s">
        <v>621</v>
      </c>
      <c r="E157" s="111" t="n">
        <f aca="false">H$6</f>
        <v>2026</v>
      </c>
      <c r="F157" s="111" t="n">
        <f aca="false">E157+0.25</f>
        <v>2026.25</v>
      </c>
      <c r="G157" s="126" t="n">
        <f aca="false">'Fleet Build'!E17</f>
        <v>3920.55191907171</v>
      </c>
      <c r="H157" s="127" t="n">
        <f aca="false">'Fleet Build'!F17</f>
        <v>2000</v>
      </c>
      <c r="I157" s="127" t="n">
        <f aca="false">'Fleet Build'!G17</f>
        <v>2099</v>
      </c>
      <c r="J157" s="128" t="n">
        <f aca="false">MAX(0,MIN(F157,I157)-MAX(E157,H157))</f>
        <v>0.25</v>
      </c>
      <c r="K157" s="129" t="n">
        <f aca="false">G157*J157*'Fleet Build'!$K$58/1000000</f>
        <v>0.349238064726304</v>
      </c>
    </row>
    <row r="158" customFormat="false" ht="15" hidden="false" customHeight="false" outlineLevel="0" collapsed="false">
      <c r="B158" s="125" t="str">
        <f aca="false">'Fleet Build'!B17</f>
        <v>Norwegian Getaway</v>
      </c>
      <c r="C158" s="125" t="str">
        <f aca="false">'Fleet Build'!C17</f>
        <v>Norwegian</v>
      </c>
      <c r="D158" s="9" t="s">
        <v>622</v>
      </c>
      <c r="E158" s="111" t="n">
        <f aca="false">I$6</f>
        <v>2026.25</v>
      </c>
      <c r="F158" s="111" t="n">
        <f aca="false">E158+0.25</f>
        <v>2026.5</v>
      </c>
      <c r="G158" s="126" t="n">
        <f aca="false">'Fleet Build'!E17</f>
        <v>3920.55191907171</v>
      </c>
      <c r="H158" s="127" t="n">
        <f aca="false">'Fleet Build'!F17</f>
        <v>2000</v>
      </c>
      <c r="I158" s="127" t="n">
        <f aca="false">'Fleet Build'!G17</f>
        <v>2099</v>
      </c>
      <c r="J158" s="128" t="n">
        <f aca="false">MAX(0,MIN(F158,I158)-MAX(E158,H158))</f>
        <v>0.25</v>
      </c>
      <c r="K158" s="129" t="n">
        <f aca="false">G158*J158*'Fleet Build'!$K$58/1000000</f>
        <v>0.349238064726304</v>
      </c>
    </row>
    <row r="159" customFormat="false" ht="15" hidden="false" customHeight="false" outlineLevel="0" collapsed="false">
      <c r="B159" s="125" t="str">
        <f aca="false">'Fleet Build'!B17</f>
        <v>Norwegian Getaway</v>
      </c>
      <c r="C159" s="125" t="str">
        <f aca="false">'Fleet Build'!C17</f>
        <v>Norwegian</v>
      </c>
      <c r="D159" s="9" t="s">
        <v>200</v>
      </c>
      <c r="E159" s="111" t="n">
        <f aca="false">J$6</f>
        <v>2026.5</v>
      </c>
      <c r="F159" s="111" t="n">
        <f aca="false">E159+0.25</f>
        <v>2026.75</v>
      </c>
      <c r="G159" s="126" t="n">
        <f aca="false">'Fleet Build'!E17</f>
        <v>3920.55191907171</v>
      </c>
      <c r="H159" s="127" t="n">
        <f aca="false">'Fleet Build'!F17</f>
        <v>2000</v>
      </c>
      <c r="I159" s="127" t="n">
        <f aca="false">'Fleet Build'!G17</f>
        <v>2099</v>
      </c>
      <c r="J159" s="128" t="n">
        <f aca="false">MAX(0,MIN(F159,I159)-MAX(E159,H159))</f>
        <v>0.25</v>
      </c>
      <c r="K159" s="129" t="n">
        <f aca="false">G159*J159*'Fleet Build'!$K$58/1000000</f>
        <v>0.349238064726304</v>
      </c>
    </row>
    <row r="160" customFormat="false" ht="15" hidden="false" customHeight="false" outlineLevel="0" collapsed="false">
      <c r="B160" s="125" t="str">
        <f aca="false">'Fleet Build'!B17</f>
        <v>Norwegian Getaway</v>
      </c>
      <c r="C160" s="125" t="str">
        <f aca="false">'Fleet Build'!C17</f>
        <v>Norwegian</v>
      </c>
      <c r="D160" s="9" t="s">
        <v>201</v>
      </c>
      <c r="E160" s="111" t="n">
        <f aca="false">K$6</f>
        <v>2026.75</v>
      </c>
      <c r="F160" s="111" t="n">
        <f aca="false">E160+0.25</f>
        <v>2027</v>
      </c>
      <c r="G160" s="126" t="n">
        <f aca="false">'Fleet Build'!E17</f>
        <v>3920.55191907171</v>
      </c>
      <c r="H160" s="127" t="n">
        <f aca="false">'Fleet Build'!F17</f>
        <v>2000</v>
      </c>
      <c r="I160" s="127" t="n">
        <f aca="false">'Fleet Build'!G17</f>
        <v>2099</v>
      </c>
      <c r="J160" s="128" t="n">
        <f aca="false">MAX(0,MIN(F160,I160)-MAX(E160,H160))</f>
        <v>0.25</v>
      </c>
      <c r="K160" s="129" t="n">
        <f aca="false">G160*J160*'Fleet Build'!$K$58/1000000</f>
        <v>0.349238064726304</v>
      </c>
    </row>
    <row r="161" customFormat="false" ht="15" hidden="false" customHeight="false" outlineLevel="0" collapsed="false">
      <c r="B161" s="125" t="str">
        <f aca="false">'Fleet Build'!B17</f>
        <v>Norwegian Getaway</v>
      </c>
      <c r="C161" s="125" t="str">
        <f aca="false">'Fleet Build'!C17</f>
        <v>Norwegian</v>
      </c>
      <c r="D161" s="9" t="s">
        <v>202</v>
      </c>
      <c r="E161" s="111" t="n">
        <f aca="false">L$6</f>
        <v>2027</v>
      </c>
      <c r="F161" s="111" t="n">
        <f aca="false">E161+0.25</f>
        <v>2027.25</v>
      </c>
      <c r="G161" s="126" t="n">
        <f aca="false">'Fleet Build'!E17</f>
        <v>3920.55191907171</v>
      </c>
      <c r="H161" s="127" t="n">
        <f aca="false">'Fleet Build'!F17</f>
        <v>2000</v>
      </c>
      <c r="I161" s="127" t="n">
        <f aca="false">'Fleet Build'!G17</f>
        <v>2099</v>
      </c>
      <c r="J161" s="128" t="n">
        <f aca="false">MAX(0,MIN(F161,I161)-MAX(E161,H161))</f>
        <v>0.25</v>
      </c>
      <c r="K161" s="129" t="n">
        <f aca="false">G161*J161*'Fleet Build'!$K$58/1000000</f>
        <v>0.349238064726304</v>
      </c>
    </row>
    <row r="162" customFormat="false" ht="15" hidden="false" customHeight="false" outlineLevel="0" collapsed="false">
      <c r="B162" s="125" t="str">
        <f aca="false">'Fleet Build'!B17</f>
        <v>Norwegian Getaway</v>
      </c>
      <c r="C162" s="125" t="str">
        <f aca="false">'Fleet Build'!C17</f>
        <v>Norwegian</v>
      </c>
      <c r="D162" s="9" t="s">
        <v>203</v>
      </c>
      <c r="E162" s="111" t="n">
        <f aca="false">M$6</f>
        <v>2027.25</v>
      </c>
      <c r="F162" s="111" t="n">
        <f aca="false">E162+0.25</f>
        <v>2027.5</v>
      </c>
      <c r="G162" s="126" t="n">
        <f aca="false">'Fleet Build'!E17</f>
        <v>3920.55191907171</v>
      </c>
      <c r="H162" s="127" t="n">
        <f aca="false">'Fleet Build'!F17</f>
        <v>2000</v>
      </c>
      <c r="I162" s="127" t="n">
        <f aca="false">'Fleet Build'!G17</f>
        <v>2099</v>
      </c>
      <c r="J162" s="128" t="n">
        <f aca="false">MAX(0,MIN(F162,I162)-MAX(E162,H162))</f>
        <v>0.25</v>
      </c>
      <c r="K162" s="129" t="n">
        <f aca="false">G162*J162*'Fleet Build'!$K$58/1000000</f>
        <v>0.349238064726304</v>
      </c>
    </row>
    <row r="163" customFormat="false" ht="15" hidden="false" customHeight="false" outlineLevel="0" collapsed="false">
      <c r="B163" s="125" t="str">
        <f aca="false">'Fleet Build'!B17</f>
        <v>Norwegian Getaway</v>
      </c>
      <c r="C163" s="125" t="str">
        <f aca="false">'Fleet Build'!C17</f>
        <v>Norwegian</v>
      </c>
      <c r="D163" s="9" t="s">
        <v>204</v>
      </c>
      <c r="E163" s="111" t="n">
        <f aca="false">N$6</f>
        <v>2027.5</v>
      </c>
      <c r="F163" s="111" t="n">
        <f aca="false">E163+0.25</f>
        <v>2027.75</v>
      </c>
      <c r="G163" s="126" t="n">
        <f aca="false">'Fleet Build'!E17</f>
        <v>3920.55191907171</v>
      </c>
      <c r="H163" s="127" t="n">
        <f aca="false">'Fleet Build'!F17</f>
        <v>2000</v>
      </c>
      <c r="I163" s="127" t="n">
        <f aca="false">'Fleet Build'!G17</f>
        <v>2099</v>
      </c>
      <c r="J163" s="128" t="n">
        <f aca="false">MAX(0,MIN(F163,I163)-MAX(E163,H163))</f>
        <v>0.25</v>
      </c>
      <c r="K163" s="129" t="n">
        <f aca="false">G163*J163*'Fleet Build'!$K$58/1000000</f>
        <v>0.349238064726304</v>
      </c>
    </row>
    <row r="164" customFormat="false" ht="15" hidden="false" customHeight="false" outlineLevel="0" collapsed="false">
      <c r="B164" s="125" t="str">
        <f aca="false">'Fleet Build'!B17</f>
        <v>Norwegian Getaway</v>
      </c>
      <c r="C164" s="125" t="str">
        <f aca="false">'Fleet Build'!C17</f>
        <v>Norwegian</v>
      </c>
      <c r="D164" s="9" t="s">
        <v>205</v>
      </c>
      <c r="E164" s="111" t="n">
        <f aca="false">O$6</f>
        <v>2027.75</v>
      </c>
      <c r="F164" s="111" t="n">
        <f aca="false">E164+0.25</f>
        <v>2028</v>
      </c>
      <c r="G164" s="126" t="n">
        <f aca="false">'Fleet Build'!E17</f>
        <v>3920.55191907171</v>
      </c>
      <c r="H164" s="127" t="n">
        <f aca="false">'Fleet Build'!F17</f>
        <v>2000</v>
      </c>
      <c r="I164" s="127" t="n">
        <f aca="false">'Fleet Build'!G17</f>
        <v>2099</v>
      </c>
      <c r="J164" s="128" t="n">
        <f aca="false">MAX(0,MIN(F164,I164)-MAX(E164,H164))</f>
        <v>0.25</v>
      </c>
      <c r="K164" s="129" t="n">
        <f aca="false">G164*J164*'Fleet Build'!$K$58/1000000</f>
        <v>0.349238064726304</v>
      </c>
    </row>
    <row r="165" customFormat="false" ht="15" hidden="false" customHeight="false" outlineLevel="0" collapsed="false">
      <c r="B165" s="125" t="str">
        <f aca="false">'Fleet Build'!B18</f>
        <v>Norwegian Breakaway</v>
      </c>
      <c r="C165" s="125" t="str">
        <f aca="false">'Fleet Build'!C18</f>
        <v>Norwegian</v>
      </c>
      <c r="D165" s="9" t="s">
        <v>617</v>
      </c>
      <c r="E165" s="111" t="n">
        <f aca="false">D$6</f>
        <v>2025</v>
      </c>
      <c r="F165" s="111" t="n">
        <f aca="false">E165+0.25</f>
        <v>2025.25</v>
      </c>
      <c r="G165" s="126" t="n">
        <f aca="false">'Fleet Build'!E18</f>
        <v>3920.55191907171</v>
      </c>
      <c r="H165" s="127" t="n">
        <f aca="false">'Fleet Build'!F18</f>
        <v>2000</v>
      </c>
      <c r="I165" s="127" t="n">
        <f aca="false">'Fleet Build'!G18</f>
        <v>2099</v>
      </c>
      <c r="J165" s="128" t="n">
        <f aca="false">MAX(0,MIN(F165,I165)-MAX(E165,H165))</f>
        <v>0.25</v>
      </c>
      <c r="K165" s="129" t="n">
        <f aca="false">G165*J165*'Fleet Build'!$K$58/1000000</f>
        <v>0.349238064726304</v>
      </c>
    </row>
    <row r="166" customFormat="false" ht="15" hidden="false" customHeight="false" outlineLevel="0" collapsed="false">
      <c r="B166" s="125" t="str">
        <f aca="false">'Fleet Build'!B18</f>
        <v>Norwegian Breakaway</v>
      </c>
      <c r="C166" s="125" t="str">
        <f aca="false">'Fleet Build'!C18</f>
        <v>Norwegian</v>
      </c>
      <c r="D166" s="9" t="s">
        <v>618</v>
      </c>
      <c r="E166" s="111" t="n">
        <f aca="false">E$6</f>
        <v>2025.25</v>
      </c>
      <c r="F166" s="111" t="n">
        <f aca="false">E166+0.25</f>
        <v>2025.5</v>
      </c>
      <c r="G166" s="126" t="n">
        <f aca="false">'Fleet Build'!E18</f>
        <v>3920.55191907171</v>
      </c>
      <c r="H166" s="127" t="n">
        <f aca="false">'Fleet Build'!F18</f>
        <v>2000</v>
      </c>
      <c r="I166" s="127" t="n">
        <f aca="false">'Fleet Build'!G18</f>
        <v>2099</v>
      </c>
      <c r="J166" s="128" t="n">
        <f aca="false">MAX(0,MIN(F166,I166)-MAX(E166,H166))</f>
        <v>0.25</v>
      </c>
      <c r="K166" s="129" t="n">
        <f aca="false">G166*J166*'Fleet Build'!$K$58/1000000</f>
        <v>0.349238064726304</v>
      </c>
    </row>
    <row r="167" customFormat="false" ht="15" hidden="false" customHeight="false" outlineLevel="0" collapsed="false">
      <c r="B167" s="125" t="str">
        <f aca="false">'Fleet Build'!B18</f>
        <v>Norwegian Breakaway</v>
      </c>
      <c r="C167" s="125" t="str">
        <f aca="false">'Fleet Build'!C18</f>
        <v>Norwegian</v>
      </c>
      <c r="D167" s="9" t="s">
        <v>619</v>
      </c>
      <c r="E167" s="111" t="n">
        <f aca="false">F$6</f>
        <v>2025.5</v>
      </c>
      <c r="F167" s="111" t="n">
        <f aca="false">E167+0.25</f>
        <v>2025.75</v>
      </c>
      <c r="G167" s="126" t="n">
        <f aca="false">'Fleet Build'!E18</f>
        <v>3920.55191907171</v>
      </c>
      <c r="H167" s="127" t="n">
        <f aca="false">'Fleet Build'!F18</f>
        <v>2000</v>
      </c>
      <c r="I167" s="127" t="n">
        <f aca="false">'Fleet Build'!G18</f>
        <v>2099</v>
      </c>
      <c r="J167" s="128" t="n">
        <f aca="false">MAX(0,MIN(F167,I167)-MAX(E167,H167))</f>
        <v>0.25</v>
      </c>
      <c r="K167" s="129" t="n">
        <f aca="false">G167*J167*'Fleet Build'!$K$58/1000000</f>
        <v>0.349238064726304</v>
      </c>
    </row>
    <row r="168" customFormat="false" ht="15" hidden="false" customHeight="false" outlineLevel="0" collapsed="false">
      <c r="B168" s="125" t="str">
        <f aca="false">'Fleet Build'!B18</f>
        <v>Norwegian Breakaway</v>
      </c>
      <c r="C168" s="125" t="str">
        <f aca="false">'Fleet Build'!C18</f>
        <v>Norwegian</v>
      </c>
      <c r="D168" s="9" t="s">
        <v>620</v>
      </c>
      <c r="E168" s="111" t="n">
        <f aca="false">G$6</f>
        <v>2025.75</v>
      </c>
      <c r="F168" s="111" t="n">
        <f aca="false">E168+0.25</f>
        <v>2026</v>
      </c>
      <c r="G168" s="126" t="n">
        <f aca="false">'Fleet Build'!E18</f>
        <v>3920.55191907171</v>
      </c>
      <c r="H168" s="127" t="n">
        <f aca="false">'Fleet Build'!F18</f>
        <v>2000</v>
      </c>
      <c r="I168" s="127" t="n">
        <f aca="false">'Fleet Build'!G18</f>
        <v>2099</v>
      </c>
      <c r="J168" s="128" t="n">
        <f aca="false">MAX(0,MIN(F168,I168)-MAX(E168,H168))</f>
        <v>0.25</v>
      </c>
      <c r="K168" s="129" t="n">
        <f aca="false">G168*J168*'Fleet Build'!$K$58/1000000</f>
        <v>0.349238064726304</v>
      </c>
    </row>
    <row r="169" customFormat="false" ht="15" hidden="false" customHeight="false" outlineLevel="0" collapsed="false">
      <c r="B169" s="125" t="str">
        <f aca="false">'Fleet Build'!B18</f>
        <v>Norwegian Breakaway</v>
      </c>
      <c r="C169" s="125" t="str">
        <f aca="false">'Fleet Build'!C18</f>
        <v>Norwegian</v>
      </c>
      <c r="D169" s="9" t="s">
        <v>621</v>
      </c>
      <c r="E169" s="111" t="n">
        <f aca="false">H$6</f>
        <v>2026</v>
      </c>
      <c r="F169" s="111" t="n">
        <f aca="false">E169+0.25</f>
        <v>2026.25</v>
      </c>
      <c r="G169" s="126" t="n">
        <f aca="false">'Fleet Build'!E18</f>
        <v>3920.55191907171</v>
      </c>
      <c r="H169" s="127" t="n">
        <f aca="false">'Fleet Build'!F18</f>
        <v>2000</v>
      </c>
      <c r="I169" s="127" t="n">
        <f aca="false">'Fleet Build'!G18</f>
        <v>2099</v>
      </c>
      <c r="J169" s="128" t="n">
        <f aca="false">MAX(0,MIN(F169,I169)-MAX(E169,H169))</f>
        <v>0.25</v>
      </c>
      <c r="K169" s="129" t="n">
        <f aca="false">G169*J169*'Fleet Build'!$K$58/1000000</f>
        <v>0.349238064726304</v>
      </c>
    </row>
    <row r="170" customFormat="false" ht="15" hidden="false" customHeight="false" outlineLevel="0" collapsed="false">
      <c r="B170" s="125" t="str">
        <f aca="false">'Fleet Build'!B18</f>
        <v>Norwegian Breakaway</v>
      </c>
      <c r="C170" s="125" t="str">
        <f aca="false">'Fleet Build'!C18</f>
        <v>Norwegian</v>
      </c>
      <c r="D170" s="9" t="s">
        <v>622</v>
      </c>
      <c r="E170" s="111" t="n">
        <f aca="false">I$6</f>
        <v>2026.25</v>
      </c>
      <c r="F170" s="111" t="n">
        <f aca="false">E170+0.25</f>
        <v>2026.5</v>
      </c>
      <c r="G170" s="126" t="n">
        <f aca="false">'Fleet Build'!E18</f>
        <v>3920.55191907171</v>
      </c>
      <c r="H170" s="127" t="n">
        <f aca="false">'Fleet Build'!F18</f>
        <v>2000</v>
      </c>
      <c r="I170" s="127" t="n">
        <f aca="false">'Fleet Build'!G18</f>
        <v>2099</v>
      </c>
      <c r="J170" s="128" t="n">
        <f aca="false">MAX(0,MIN(F170,I170)-MAX(E170,H170))</f>
        <v>0.25</v>
      </c>
      <c r="K170" s="129" t="n">
        <f aca="false">G170*J170*'Fleet Build'!$K$58/1000000</f>
        <v>0.349238064726304</v>
      </c>
    </row>
    <row r="171" customFormat="false" ht="15" hidden="false" customHeight="false" outlineLevel="0" collapsed="false">
      <c r="B171" s="125" t="str">
        <f aca="false">'Fleet Build'!B18</f>
        <v>Norwegian Breakaway</v>
      </c>
      <c r="C171" s="125" t="str">
        <f aca="false">'Fleet Build'!C18</f>
        <v>Norwegian</v>
      </c>
      <c r="D171" s="9" t="s">
        <v>200</v>
      </c>
      <c r="E171" s="111" t="n">
        <f aca="false">J$6</f>
        <v>2026.5</v>
      </c>
      <c r="F171" s="111" t="n">
        <f aca="false">E171+0.25</f>
        <v>2026.75</v>
      </c>
      <c r="G171" s="126" t="n">
        <f aca="false">'Fleet Build'!E18</f>
        <v>3920.55191907171</v>
      </c>
      <c r="H171" s="127" t="n">
        <f aca="false">'Fleet Build'!F18</f>
        <v>2000</v>
      </c>
      <c r="I171" s="127" t="n">
        <f aca="false">'Fleet Build'!G18</f>
        <v>2099</v>
      </c>
      <c r="J171" s="128" t="n">
        <f aca="false">MAX(0,MIN(F171,I171)-MAX(E171,H171))</f>
        <v>0.25</v>
      </c>
      <c r="K171" s="129" t="n">
        <f aca="false">G171*J171*'Fleet Build'!$K$58/1000000</f>
        <v>0.349238064726304</v>
      </c>
    </row>
    <row r="172" customFormat="false" ht="15" hidden="false" customHeight="false" outlineLevel="0" collapsed="false">
      <c r="B172" s="125" t="str">
        <f aca="false">'Fleet Build'!B18</f>
        <v>Norwegian Breakaway</v>
      </c>
      <c r="C172" s="125" t="str">
        <f aca="false">'Fleet Build'!C18</f>
        <v>Norwegian</v>
      </c>
      <c r="D172" s="9" t="s">
        <v>201</v>
      </c>
      <c r="E172" s="111" t="n">
        <f aca="false">K$6</f>
        <v>2026.75</v>
      </c>
      <c r="F172" s="111" t="n">
        <f aca="false">E172+0.25</f>
        <v>2027</v>
      </c>
      <c r="G172" s="126" t="n">
        <f aca="false">'Fleet Build'!E18</f>
        <v>3920.55191907171</v>
      </c>
      <c r="H172" s="127" t="n">
        <f aca="false">'Fleet Build'!F18</f>
        <v>2000</v>
      </c>
      <c r="I172" s="127" t="n">
        <f aca="false">'Fleet Build'!G18</f>
        <v>2099</v>
      </c>
      <c r="J172" s="128" t="n">
        <f aca="false">MAX(0,MIN(F172,I172)-MAX(E172,H172))</f>
        <v>0.25</v>
      </c>
      <c r="K172" s="129" t="n">
        <f aca="false">G172*J172*'Fleet Build'!$K$58/1000000</f>
        <v>0.349238064726304</v>
      </c>
    </row>
    <row r="173" customFormat="false" ht="15" hidden="false" customHeight="false" outlineLevel="0" collapsed="false">
      <c r="B173" s="125" t="str">
        <f aca="false">'Fleet Build'!B18</f>
        <v>Norwegian Breakaway</v>
      </c>
      <c r="C173" s="125" t="str">
        <f aca="false">'Fleet Build'!C18</f>
        <v>Norwegian</v>
      </c>
      <c r="D173" s="9" t="s">
        <v>202</v>
      </c>
      <c r="E173" s="111" t="n">
        <f aca="false">L$6</f>
        <v>2027</v>
      </c>
      <c r="F173" s="111" t="n">
        <f aca="false">E173+0.25</f>
        <v>2027.25</v>
      </c>
      <c r="G173" s="126" t="n">
        <f aca="false">'Fleet Build'!E18</f>
        <v>3920.55191907171</v>
      </c>
      <c r="H173" s="127" t="n">
        <f aca="false">'Fleet Build'!F18</f>
        <v>2000</v>
      </c>
      <c r="I173" s="127" t="n">
        <f aca="false">'Fleet Build'!G18</f>
        <v>2099</v>
      </c>
      <c r="J173" s="128" t="n">
        <f aca="false">MAX(0,MIN(F173,I173)-MAX(E173,H173))</f>
        <v>0.25</v>
      </c>
      <c r="K173" s="129" t="n">
        <f aca="false">G173*J173*'Fleet Build'!$K$58/1000000</f>
        <v>0.349238064726304</v>
      </c>
    </row>
    <row r="174" customFormat="false" ht="15" hidden="false" customHeight="false" outlineLevel="0" collapsed="false">
      <c r="B174" s="125" t="str">
        <f aca="false">'Fleet Build'!B18</f>
        <v>Norwegian Breakaway</v>
      </c>
      <c r="C174" s="125" t="str">
        <f aca="false">'Fleet Build'!C18</f>
        <v>Norwegian</v>
      </c>
      <c r="D174" s="9" t="s">
        <v>203</v>
      </c>
      <c r="E174" s="111" t="n">
        <f aca="false">M$6</f>
        <v>2027.25</v>
      </c>
      <c r="F174" s="111" t="n">
        <f aca="false">E174+0.25</f>
        <v>2027.5</v>
      </c>
      <c r="G174" s="126" t="n">
        <f aca="false">'Fleet Build'!E18</f>
        <v>3920.55191907171</v>
      </c>
      <c r="H174" s="127" t="n">
        <f aca="false">'Fleet Build'!F18</f>
        <v>2000</v>
      </c>
      <c r="I174" s="127" t="n">
        <f aca="false">'Fleet Build'!G18</f>
        <v>2099</v>
      </c>
      <c r="J174" s="128" t="n">
        <f aca="false">MAX(0,MIN(F174,I174)-MAX(E174,H174))</f>
        <v>0.25</v>
      </c>
      <c r="K174" s="129" t="n">
        <f aca="false">G174*J174*'Fleet Build'!$K$58/1000000</f>
        <v>0.349238064726304</v>
      </c>
    </row>
    <row r="175" customFormat="false" ht="15" hidden="false" customHeight="false" outlineLevel="0" collapsed="false">
      <c r="B175" s="125" t="str">
        <f aca="false">'Fleet Build'!B18</f>
        <v>Norwegian Breakaway</v>
      </c>
      <c r="C175" s="125" t="str">
        <f aca="false">'Fleet Build'!C18</f>
        <v>Norwegian</v>
      </c>
      <c r="D175" s="9" t="s">
        <v>204</v>
      </c>
      <c r="E175" s="111" t="n">
        <f aca="false">N$6</f>
        <v>2027.5</v>
      </c>
      <c r="F175" s="111" t="n">
        <f aca="false">E175+0.25</f>
        <v>2027.75</v>
      </c>
      <c r="G175" s="126" t="n">
        <f aca="false">'Fleet Build'!E18</f>
        <v>3920.55191907171</v>
      </c>
      <c r="H175" s="127" t="n">
        <f aca="false">'Fleet Build'!F18</f>
        <v>2000</v>
      </c>
      <c r="I175" s="127" t="n">
        <f aca="false">'Fleet Build'!G18</f>
        <v>2099</v>
      </c>
      <c r="J175" s="128" t="n">
        <f aca="false">MAX(0,MIN(F175,I175)-MAX(E175,H175))</f>
        <v>0.25</v>
      </c>
      <c r="K175" s="129" t="n">
        <f aca="false">G175*J175*'Fleet Build'!$K$58/1000000</f>
        <v>0.349238064726304</v>
      </c>
    </row>
    <row r="176" customFormat="false" ht="15" hidden="false" customHeight="false" outlineLevel="0" collapsed="false">
      <c r="B176" s="125" t="str">
        <f aca="false">'Fleet Build'!B18</f>
        <v>Norwegian Breakaway</v>
      </c>
      <c r="C176" s="125" t="str">
        <f aca="false">'Fleet Build'!C18</f>
        <v>Norwegian</v>
      </c>
      <c r="D176" s="9" t="s">
        <v>205</v>
      </c>
      <c r="E176" s="111" t="n">
        <f aca="false">O$6</f>
        <v>2027.75</v>
      </c>
      <c r="F176" s="111" t="n">
        <f aca="false">E176+0.25</f>
        <v>2028</v>
      </c>
      <c r="G176" s="126" t="n">
        <f aca="false">'Fleet Build'!E18</f>
        <v>3920.55191907171</v>
      </c>
      <c r="H176" s="127" t="n">
        <f aca="false">'Fleet Build'!F18</f>
        <v>2000</v>
      </c>
      <c r="I176" s="127" t="n">
        <f aca="false">'Fleet Build'!G18</f>
        <v>2099</v>
      </c>
      <c r="J176" s="128" t="n">
        <f aca="false">MAX(0,MIN(F176,I176)-MAX(E176,H176))</f>
        <v>0.25</v>
      </c>
      <c r="K176" s="129" t="n">
        <f aca="false">G176*J176*'Fleet Build'!$K$58/1000000</f>
        <v>0.349238064726304</v>
      </c>
    </row>
    <row r="177" customFormat="false" ht="15" hidden="false" customHeight="false" outlineLevel="0" collapsed="false">
      <c r="B177" s="125" t="str">
        <f aca="false">'Fleet Build'!B19</f>
        <v>Norwegian Epic</v>
      </c>
      <c r="C177" s="125" t="str">
        <f aca="false">'Fleet Build'!C19</f>
        <v>Norwegian</v>
      </c>
      <c r="D177" s="9" t="s">
        <v>617</v>
      </c>
      <c r="E177" s="111" t="n">
        <f aca="false">D$6</f>
        <v>2025</v>
      </c>
      <c r="F177" s="111" t="n">
        <f aca="false">E177+0.25</f>
        <v>2025.25</v>
      </c>
      <c r="G177" s="126" t="n">
        <f aca="false">'Fleet Build'!E19</f>
        <v>4056.08449866111</v>
      </c>
      <c r="H177" s="127" t="n">
        <f aca="false">'Fleet Build'!F19</f>
        <v>2000</v>
      </c>
      <c r="I177" s="127" t="n">
        <f aca="false">'Fleet Build'!G19</f>
        <v>2099</v>
      </c>
      <c r="J177" s="128" t="n">
        <f aca="false">MAX(0,MIN(F177,I177)-MAX(E177,H177))</f>
        <v>0.25</v>
      </c>
      <c r="K177" s="129" t="n">
        <f aca="false">G177*J177*'Fleet Build'!$K$58/1000000</f>
        <v>0.361311144430443</v>
      </c>
    </row>
    <row r="178" customFormat="false" ht="15" hidden="false" customHeight="false" outlineLevel="0" collapsed="false">
      <c r="B178" s="125" t="str">
        <f aca="false">'Fleet Build'!B19</f>
        <v>Norwegian Epic</v>
      </c>
      <c r="C178" s="125" t="str">
        <f aca="false">'Fleet Build'!C19</f>
        <v>Norwegian</v>
      </c>
      <c r="D178" s="9" t="s">
        <v>618</v>
      </c>
      <c r="E178" s="111" t="n">
        <f aca="false">E$6</f>
        <v>2025.25</v>
      </c>
      <c r="F178" s="111" t="n">
        <f aca="false">E178+0.25</f>
        <v>2025.5</v>
      </c>
      <c r="G178" s="126" t="n">
        <f aca="false">'Fleet Build'!E19</f>
        <v>4056.08449866111</v>
      </c>
      <c r="H178" s="127" t="n">
        <f aca="false">'Fleet Build'!F19</f>
        <v>2000</v>
      </c>
      <c r="I178" s="127" t="n">
        <f aca="false">'Fleet Build'!G19</f>
        <v>2099</v>
      </c>
      <c r="J178" s="128" t="n">
        <f aca="false">MAX(0,MIN(F178,I178)-MAX(E178,H178))</f>
        <v>0.25</v>
      </c>
      <c r="K178" s="129" t="n">
        <f aca="false">G178*J178*'Fleet Build'!$K$58/1000000</f>
        <v>0.361311144430443</v>
      </c>
    </row>
    <row r="179" customFormat="false" ht="15" hidden="false" customHeight="false" outlineLevel="0" collapsed="false">
      <c r="B179" s="125" t="str">
        <f aca="false">'Fleet Build'!B19</f>
        <v>Norwegian Epic</v>
      </c>
      <c r="C179" s="125" t="str">
        <f aca="false">'Fleet Build'!C19</f>
        <v>Norwegian</v>
      </c>
      <c r="D179" s="9" t="s">
        <v>619</v>
      </c>
      <c r="E179" s="111" t="n">
        <f aca="false">F$6</f>
        <v>2025.5</v>
      </c>
      <c r="F179" s="111" t="n">
        <f aca="false">E179+0.25</f>
        <v>2025.75</v>
      </c>
      <c r="G179" s="126" t="n">
        <f aca="false">'Fleet Build'!E19</f>
        <v>4056.08449866111</v>
      </c>
      <c r="H179" s="127" t="n">
        <f aca="false">'Fleet Build'!F19</f>
        <v>2000</v>
      </c>
      <c r="I179" s="127" t="n">
        <f aca="false">'Fleet Build'!G19</f>
        <v>2099</v>
      </c>
      <c r="J179" s="128" t="n">
        <f aca="false">MAX(0,MIN(F179,I179)-MAX(E179,H179))</f>
        <v>0.25</v>
      </c>
      <c r="K179" s="129" t="n">
        <f aca="false">G179*J179*'Fleet Build'!$K$58/1000000</f>
        <v>0.361311144430443</v>
      </c>
    </row>
    <row r="180" customFormat="false" ht="15" hidden="false" customHeight="false" outlineLevel="0" collapsed="false">
      <c r="B180" s="125" t="str">
        <f aca="false">'Fleet Build'!B19</f>
        <v>Norwegian Epic</v>
      </c>
      <c r="C180" s="125" t="str">
        <f aca="false">'Fleet Build'!C19</f>
        <v>Norwegian</v>
      </c>
      <c r="D180" s="9" t="s">
        <v>620</v>
      </c>
      <c r="E180" s="111" t="n">
        <f aca="false">G$6</f>
        <v>2025.75</v>
      </c>
      <c r="F180" s="111" t="n">
        <f aca="false">E180+0.25</f>
        <v>2026</v>
      </c>
      <c r="G180" s="126" t="n">
        <f aca="false">'Fleet Build'!E19</f>
        <v>4056.08449866111</v>
      </c>
      <c r="H180" s="127" t="n">
        <f aca="false">'Fleet Build'!F19</f>
        <v>2000</v>
      </c>
      <c r="I180" s="127" t="n">
        <f aca="false">'Fleet Build'!G19</f>
        <v>2099</v>
      </c>
      <c r="J180" s="128" t="n">
        <f aca="false">MAX(0,MIN(F180,I180)-MAX(E180,H180))</f>
        <v>0.25</v>
      </c>
      <c r="K180" s="129" t="n">
        <f aca="false">G180*J180*'Fleet Build'!$K$58/1000000</f>
        <v>0.361311144430443</v>
      </c>
    </row>
    <row r="181" customFormat="false" ht="15" hidden="false" customHeight="false" outlineLevel="0" collapsed="false">
      <c r="B181" s="125" t="str">
        <f aca="false">'Fleet Build'!B19</f>
        <v>Norwegian Epic</v>
      </c>
      <c r="C181" s="125" t="str">
        <f aca="false">'Fleet Build'!C19</f>
        <v>Norwegian</v>
      </c>
      <c r="D181" s="9" t="s">
        <v>621</v>
      </c>
      <c r="E181" s="111" t="n">
        <f aca="false">H$6</f>
        <v>2026</v>
      </c>
      <c r="F181" s="111" t="n">
        <f aca="false">E181+0.25</f>
        <v>2026.25</v>
      </c>
      <c r="G181" s="126" t="n">
        <f aca="false">'Fleet Build'!E19</f>
        <v>4056.08449866111</v>
      </c>
      <c r="H181" s="127" t="n">
        <f aca="false">'Fleet Build'!F19</f>
        <v>2000</v>
      </c>
      <c r="I181" s="127" t="n">
        <f aca="false">'Fleet Build'!G19</f>
        <v>2099</v>
      </c>
      <c r="J181" s="128" t="n">
        <f aca="false">MAX(0,MIN(F181,I181)-MAX(E181,H181))</f>
        <v>0.25</v>
      </c>
      <c r="K181" s="129" t="n">
        <f aca="false">G181*J181*'Fleet Build'!$K$58/1000000</f>
        <v>0.361311144430443</v>
      </c>
    </row>
    <row r="182" customFormat="false" ht="15" hidden="false" customHeight="false" outlineLevel="0" collapsed="false">
      <c r="B182" s="125" t="str">
        <f aca="false">'Fleet Build'!B19</f>
        <v>Norwegian Epic</v>
      </c>
      <c r="C182" s="125" t="str">
        <f aca="false">'Fleet Build'!C19</f>
        <v>Norwegian</v>
      </c>
      <c r="D182" s="9" t="s">
        <v>622</v>
      </c>
      <c r="E182" s="111" t="n">
        <f aca="false">I$6</f>
        <v>2026.25</v>
      </c>
      <c r="F182" s="111" t="n">
        <f aca="false">E182+0.25</f>
        <v>2026.5</v>
      </c>
      <c r="G182" s="126" t="n">
        <f aca="false">'Fleet Build'!E19</f>
        <v>4056.08449866111</v>
      </c>
      <c r="H182" s="127" t="n">
        <f aca="false">'Fleet Build'!F19</f>
        <v>2000</v>
      </c>
      <c r="I182" s="127" t="n">
        <f aca="false">'Fleet Build'!G19</f>
        <v>2099</v>
      </c>
      <c r="J182" s="128" t="n">
        <f aca="false">MAX(0,MIN(F182,I182)-MAX(E182,H182))</f>
        <v>0.25</v>
      </c>
      <c r="K182" s="129" t="n">
        <f aca="false">G182*J182*'Fleet Build'!$K$58/1000000</f>
        <v>0.361311144430443</v>
      </c>
    </row>
    <row r="183" customFormat="false" ht="15" hidden="false" customHeight="false" outlineLevel="0" collapsed="false">
      <c r="B183" s="125" t="str">
        <f aca="false">'Fleet Build'!B19</f>
        <v>Norwegian Epic</v>
      </c>
      <c r="C183" s="125" t="str">
        <f aca="false">'Fleet Build'!C19</f>
        <v>Norwegian</v>
      </c>
      <c r="D183" s="9" t="s">
        <v>200</v>
      </c>
      <c r="E183" s="111" t="n">
        <f aca="false">J$6</f>
        <v>2026.5</v>
      </c>
      <c r="F183" s="111" t="n">
        <f aca="false">E183+0.25</f>
        <v>2026.75</v>
      </c>
      <c r="G183" s="126" t="n">
        <f aca="false">'Fleet Build'!E19</f>
        <v>4056.08449866111</v>
      </c>
      <c r="H183" s="127" t="n">
        <f aca="false">'Fleet Build'!F19</f>
        <v>2000</v>
      </c>
      <c r="I183" s="127" t="n">
        <f aca="false">'Fleet Build'!G19</f>
        <v>2099</v>
      </c>
      <c r="J183" s="128" t="n">
        <f aca="false">MAX(0,MIN(F183,I183)-MAX(E183,H183))</f>
        <v>0.25</v>
      </c>
      <c r="K183" s="129" t="n">
        <f aca="false">G183*J183*'Fleet Build'!$K$58/1000000</f>
        <v>0.361311144430443</v>
      </c>
    </row>
    <row r="184" customFormat="false" ht="15" hidden="false" customHeight="false" outlineLevel="0" collapsed="false">
      <c r="B184" s="125" t="str">
        <f aca="false">'Fleet Build'!B19</f>
        <v>Norwegian Epic</v>
      </c>
      <c r="C184" s="125" t="str">
        <f aca="false">'Fleet Build'!C19</f>
        <v>Norwegian</v>
      </c>
      <c r="D184" s="9" t="s">
        <v>201</v>
      </c>
      <c r="E184" s="111" t="n">
        <f aca="false">K$6</f>
        <v>2026.75</v>
      </c>
      <c r="F184" s="111" t="n">
        <f aca="false">E184+0.25</f>
        <v>2027</v>
      </c>
      <c r="G184" s="126" t="n">
        <f aca="false">'Fleet Build'!E19</f>
        <v>4056.08449866111</v>
      </c>
      <c r="H184" s="127" t="n">
        <f aca="false">'Fleet Build'!F19</f>
        <v>2000</v>
      </c>
      <c r="I184" s="127" t="n">
        <f aca="false">'Fleet Build'!G19</f>
        <v>2099</v>
      </c>
      <c r="J184" s="128" t="n">
        <f aca="false">MAX(0,MIN(F184,I184)-MAX(E184,H184))</f>
        <v>0.25</v>
      </c>
      <c r="K184" s="129" t="n">
        <f aca="false">G184*J184*'Fleet Build'!$K$58/1000000</f>
        <v>0.361311144430443</v>
      </c>
    </row>
    <row r="185" customFormat="false" ht="15" hidden="false" customHeight="false" outlineLevel="0" collapsed="false">
      <c r="B185" s="125" t="str">
        <f aca="false">'Fleet Build'!B19</f>
        <v>Norwegian Epic</v>
      </c>
      <c r="C185" s="125" t="str">
        <f aca="false">'Fleet Build'!C19</f>
        <v>Norwegian</v>
      </c>
      <c r="D185" s="9" t="s">
        <v>202</v>
      </c>
      <c r="E185" s="111" t="n">
        <f aca="false">L$6</f>
        <v>2027</v>
      </c>
      <c r="F185" s="111" t="n">
        <f aca="false">E185+0.25</f>
        <v>2027.25</v>
      </c>
      <c r="G185" s="126" t="n">
        <f aca="false">'Fleet Build'!E19</f>
        <v>4056.08449866111</v>
      </c>
      <c r="H185" s="127" t="n">
        <f aca="false">'Fleet Build'!F19</f>
        <v>2000</v>
      </c>
      <c r="I185" s="127" t="n">
        <f aca="false">'Fleet Build'!G19</f>
        <v>2099</v>
      </c>
      <c r="J185" s="128" t="n">
        <f aca="false">MAX(0,MIN(F185,I185)-MAX(E185,H185))</f>
        <v>0.25</v>
      </c>
      <c r="K185" s="129" t="n">
        <f aca="false">G185*J185*'Fleet Build'!$K$58/1000000</f>
        <v>0.361311144430443</v>
      </c>
    </row>
    <row r="186" customFormat="false" ht="15" hidden="false" customHeight="false" outlineLevel="0" collapsed="false">
      <c r="B186" s="125" t="str">
        <f aca="false">'Fleet Build'!B19</f>
        <v>Norwegian Epic</v>
      </c>
      <c r="C186" s="125" t="str">
        <f aca="false">'Fleet Build'!C19</f>
        <v>Norwegian</v>
      </c>
      <c r="D186" s="9" t="s">
        <v>203</v>
      </c>
      <c r="E186" s="111" t="n">
        <f aca="false">M$6</f>
        <v>2027.25</v>
      </c>
      <c r="F186" s="111" t="n">
        <f aca="false">E186+0.25</f>
        <v>2027.5</v>
      </c>
      <c r="G186" s="126" t="n">
        <f aca="false">'Fleet Build'!E19</f>
        <v>4056.08449866111</v>
      </c>
      <c r="H186" s="127" t="n">
        <f aca="false">'Fleet Build'!F19</f>
        <v>2000</v>
      </c>
      <c r="I186" s="127" t="n">
        <f aca="false">'Fleet Build'!G19</f>
        <v>2099</v>
      </c>
      <c r="J186" s="128" t="n">
        <f aca="false">MAX(0,MIN(F186,I186)-MAX(E186,H186))</f>
        <v>0.25</v>
      </c>
      <c r="K186" s="129" t="n">
        <f aca="false">G186*J186*'Fleet Build'!$K$58/1000000</f>
        <v>0.361311144430443</v>
      </c>
    </row>
    <row r="187" customFormat="false" ht="15" hidden="false" customHeight="false" outlineLevel="0" collapsed="false">
      <c r="B187" s="125" t="str">
        <f aca="false">'Fleet Build'!B19</f>
        <v>Norwegian Epic</v>
      </c>
      <c r="C187" s="125" t="str">
        <f aca="false">'Fleet Build'!C19</f>
        <v>Norwegian</v>
      </c>
      <c r="D187" s="9" t="s">
        <v>204</v>
      </c>
      <c r="E187" s="111" t="n">
        <f aca="false">N$6</f>
        <v>2027.5</v>
      </c>
      <c r="F187" s="111" t="n">
        <f aca="false">E187+0.25</f>
        <v>2027.75</v>
      </c>
      <c r="G187" s="126" t="n">
        <f aca="false">'Fleet Build'!E19</f>
        <v>4056.08449866111</v>
      </c>
      <c r="H187" s="127" t="n">
        <f aca="false">'Fleet Build'!F19</f>
        <v>2000</v>
      </c>
      <c r="I187" s="127" t="n">
        <f aca="false">'Fleet Build'!G19</f>
        <v>2099</v>
      </c>
      <c r="J187" s="128" t="n">
        <f aca="false">MAX(0,MIN(F187,I187)-MAX(E187,H187))</f>
        <v>0.25</v>
      </c>
      <c r="K187" s="129" t="n">
        <f aca="false">G187*J187*'Fleet Build'!$K$58/1000000</f>
        <v>0.361311144430443</v>
      </c>
    </row>
    <row r="188" customFormat="false" ht="15" hidden="false" customHeight="false" outlineLevel="0" collapsed="false">
      <c r="B188" s="125" t="str">
        <f aca="false">'Fleet Build'!B19</f>
        <v>Norwegian Epic</v>
      </c>
      <c r="C188" s="125" t="str">
        <f aca="false">'Fleet Build'!C19</f>
        <v>Norwegian</v>
      </c>
      <c r="D188" s="9" t="s">
        <v>205</v>
      </c>
      <c r="E188" s="111" t="n">
        <f aca="false">O$6</f>
        <v>2027.75</v>
      </c>
      <c r="F188" s="111" t="n">
        <f aca="false">E188+0.25</f>
        <v>2028</v>
      </c>
      <c r="G188" s="126" t="n">
        <f aca="false">'Fleet Build'!E19</f>
        <v>4056.08449866111</v>
      </c>
      <c r="H188" s="127" t="n">
        <f aca="false">'Fleet Build'!F19</f>
        <v>2000</v>
      </c>
      <c r="I188" s="127" t="n">
        <f aca="false">'Fleet Build'!G19</f>
        <v>2099</v>
      </c>
      <c r="J188" s="128" t="n">
        <f aca="false">MAX(0,MIN(F188,I188)-MAX(E188,H188))</f>
        <v>0.25</v>
      </c>
      <c r="K188" s="129" t="n">
        <f aca="false">G188*J188*'Fleet Build'!$K$58/1000000</f>
        <v>0.361311144430443</v>
      </c>
    </row>
    <row r="189" customFormat="false" ht="15" hidden="false" customHeight="false" outlineLevel="0" collapsed="false">
      <c r="B189" s="125" t="str">
        <f aca="false">'Fleet Build'!B20</f>
        <v>Norwegian Gem</v>
      </c>
      <c r="C189" s="125" t="str">
        <f aca="false">'Fleet Build'!C20</f>
        <v>Norwegian</v>
      </c>
      <c r="D189" s="9" t="s">
        <v>617</v>
      </c>
      <c r="E189" s="111" t="n">
        <f aca="false">D$6</f>
        <v>2025</v>
      </c>
      <c r="F189" s="111" t="n">
        <f aca="false">E189+0.25</f>
        <v>2025.25</v>
      </c>
      <c r="G189" s="126" t="n">
        <f aca="false">'Fleet Build'!E20</f>
        <v>2368.35763165725</v>
      </c>
      <c r="H189" s="127" t="n">
        <f aca="false">'Fleet Build'!F20</f>
        <v>2000</v>
      </c>
      <c r="I189" s="127" t="n">
        <f aca="false">'Fleet Build'!G20</f>
        <v>2099</v>
      </c>
      <c r="J189" s="128" t="n">
        <f aca="false">MAX(0,MIN(F189,I189)-MAX(E189,H189))</f>
        <v>0.25</v>
      </c>
      <c r="K189" s="129" t="n">
        <f aca="false">G189*J189*'Fleet Build'!$K$58/1000000</f>
        <v>0.210970458479629</v>
      </c>
    </row>
    <row r="190" customFormat="false" ht="15" hidden="false" customHeight="false" outlineLevel="0" collapsed="false">
      <c r="B190" s="125" t="str">
        <f aca="false">'Fleet Build'!B20</f>
        <v>Norwegian Gem</v>
      </c>
      <c r="C190" s="125" t="str">
        <f aca="false">'Fleet Build'!C20</f>
        <v>Norwegian</v>
      </c>
      <c r="D190" s="9" t="s">
        <v>618</v>
      </c>
      <c r="E190" s="111" t="n">
        <f aca="false">E$6</f>
        <v>2025.25</v>
      </c>
      <c r="F190" s="111" t="n">
        <f aca="false">E190+0.25</f>
        <v>2025.5</v>
      </c>
      <c r="G190" s="126" t="n">
        <f aca="false">'Fleet Build'!E20</f>
        <v>2368.35763165725</v>
      </c>
      <c r="H190" s="127" t="n">
        <f aca="false">'Fleet Build'!F20</f>
        <v>2000</v>
      </c>
      <c r="I190" s="127" t="n">
        <f aca="false">'Fleet Build'!G20</f>
        <v>2099</v>
      </c>
      <c r="J190" s="128" t="n">
        <f aca="false">MAX(0,MIN(F190,I190)-MAX(E190,H190))</f>
        <v>0.25</v>
      </c>
      <c r="K190" s="129" t="n">
        <f aca="false">G190*J190*'Fleet Build'!$K$58/1000000</f>
        <v>0.210970458479629</v>
      </c>
    </row>
    <row r="191" customFormat="false" ht="15" hidden="false" customHeight="false" outlineLevel="0" collapsed="false">
      <c r="B191" s="125" t="str">
        <f aca="false">'Fleet Build'!B20</f>
        <v>Norwegian Gem</v>
      </c>
      <c r="C191" s="125" t="str">
        <f aca="false">'Fleet Build'!C20</f>
        <v>Norwegian</v>
      </c>
      <c r="D191" s="9" t="s">
        <v>619</v>
      </c>
      <c r="E191" s="111" t="n">
        <f aca="false">F$6</f>
        <v>2025.5</v>
      </c>
      <c r="F191" s="111" t="n">
        <f aca="false">E191+0.25</f>
        <v>2025.75</v>
      </c>
      <c r="G191" s="126" t="n">
        <f aca="false">'Fleet Build'!E20</f>
        <v>2368.35763165725</v>
      </c>
      <c r="H191" s="127" t="n">
        <f aca="false">'Fleet Build'!F20</f>
        <v>2000</v>
      </c>
      <c r="I191" s="127" t="n">
        <f aca="false">'Fleet Build'!G20</f>
        <v>2099</v>
      </c>
      <c r="J191" s="128" t="n">
        <f aca="false">MAX(0,MIN(F191,I191)-MAX(E191,H191))</f>
        <v>0.25</v>
      </c>
      <c r="K191" s="129" t="n">
        <f aca="false">G191*J191*'Fleet Build'!$K$58/1000000</f>
        <v>0.210970458479629</v>
      </c>
    </row>
    <row r="192" customFormat="false" ht="15" hidden="false" customHeight="false" outlineLevel="0" collapsed="false">
      <c r="B192" s="125" t="str">
        <f aca="false">'Fleet Build'!B20</f>
        <v>Norwegian Gem</v>
      </c>
      <c r="C192" s="125" t="str">
        <f aca="false">'Fleet Build'!C20</f>
        <v>Norwegian</v>
      </c>
      <c r="D192" s="9" t="s">
        <v>620</v>
      </c>
      <c r="E192" s="111" t="n">
        <f aca="false">G$6</f>
        <v>2025.75</v>
      </c>
      <c r="F192" s="111" t="n">
        <f aca="false">E192+0.25</f>
        <v>2026</v>
      </c>
      <c r="G192" s="126" t="n">
        <f aca="false">'Fleet Build'!E20</f>
        <v>2368.35763165725</v>
      </c>
      <c r="H192" s="127" t="n">
        <f aca="false">'Fleet Build'!F20</f>
        <v>2000</v>
      </c>
      <c r="I192" s="127" t="n">
        <f aca="false">'Fleet Build'!G20</f>
        <v>2099</v>
      </c>
      <c r="J192" s="128" t="n">
        <f aca="false">MAX(0,MIN(F192,I192)-MAX(E192,H192))</f>
        <v>0.25</v>
      </c>
      <c r="K192" s="129" t="n">
        <f aca="false">G192*J192*'Fleet Build'!$K$58/1000000</f>
        <v>0.210970458479629</v>
      </c>
    </row>
    <row r="193" customFormat="false" ht="15" hidden="false" customHeight="false" outlineLevel="0" collapsed="false">
      <c r="B193" s="125" t="str">
        <f aca="false">'Fleet Build'!B20</f>
        <v>Norwegian Gem</v>
      </c>
      <c r="C193" s="125" t="str">
        <f aca="false">'Fleet Build'!C20</f>
        <v>Norwegian</v>
      </c>
      <c r="D193" s="9" t="s">
        <v>621</v>
      </c>
      <c r="E193" s="111" t="n">
        <f aca="false">H$6</f>
        <v>2026</v>
      </c>
      <c r="F193" s="111" t="n">
        <f aca="false">E193+0.25</f>
        <v>2026.25</v>
      </c>
      <c r="G193" s="126" t="n">
        <f aca="false">'Fleet Build'!E20</f>
        <v>2368.35763165725</v>
      </c>
      <c r="H193" s="127" t="n">
        <f aca="false">'Fleet Build'!F20</f>
        <v>2000</v>
      </c>
      <c r="I193" s="127" t="n">
        <f aca="false">'Fleet Build'!G20</f>
        <v>2099</v>
      </c>
      <c r="J193" s="128" t="n">
        <f aca="false">MAX(0,MIN(F193,I193)-MAX(E193,H193))</f>
        <v>0.25</v>
      </c>
      <c r="K193" s="129" t="n">
        <f aca="false">G193*J193*'Fleet Build'!$K$58/1000000</f>
        <v>0.210970458479629</v>
      </c>
    </row>
    <row r="194" customFormat="false" ht="15" hidden="false" customHeight="false" outlineLevel="0" collapsed="false">
      <c r="B194" s="125" t="str">
        <f aca="false">'Fleet Build'!B20</f>
        <v>Norwegian Gem</v>
      </c>
      <c r="C194" s="125" t="str">
        <f aca="false">'Fleet Build'!C20</f>
        <v>Norwegian</v>
      </c>
      <c r="D194" s="9" t="s">
        <v>622</v>
      </c>
      <c r="E194" s="111" t="n">
        <f aca="false">I$6</f>
        <v>2026.25</v>
      </c>
      <c r="F194" s="111" t="n">
        <f aca="false">E194+0.25</f>
        <v>2026.5</v>
      </c>
      <c r="G194" s="126" t="n">
        <f aca="false">'Fleet Build'!E20</f>
        <v>2368.35763165725</v>
      </c>
      <c r="H194" s="127" t="n">
        <f aca="false">'Fleet Build'!F20</f>
        <v>2000</v>
      </c>
      <c r="I194" s="127" t="n">
        <f aca="false">'Fleet Build'!G20</f>
        <v>2099</v>
      </c>
      <c r="J194" s="128" t="n">
        <f aca="false">MAX(0,MIN(F194,I194)-MAX(E194,H194))</f>
        <v>0.25</v>
      </c>
      <c r="K194" s="129" t="n">
        <f aca="false">G194*J194*'Fleet Build'!$K$58/1000000</f>
        <v>0.210970458479629</v>
      </c>
    </row>
    <row r="195" customFormat="false" ht="15" hidden="false" customHeight="false" outlineLevel="0" collapsed="false">
      <c r="B195" s="125" t="str">
        <f aca="false">'Fleet Build'!B20</f>
        <v>Norwegian Gem</v>
      </c>
      <c r="C195" s="125" t="str">
        <f aca="false">'Fleet Build'!C20</f>
        <v>Norwegian</v>
      </c>
      <c r="D195" s="9" t="s">
        <v>200</v>
      </c>
      <c r="E195" s="111" t="n">
        <f aca="false">J$6</f>
        <v>2026.5</v>
      </c>
      <c r="F195" s="111" t="n">
        <f aca="false">E195+0.25</f>
        <v>2026.75</v>
      </c>
      <c r="G195" s="126" t="n">
        <f aca="false">'Fleet Build'!E20</f>
        <v>2368.35763165725</v>
      </c>
      <c r="H195" s="127" t="n">
        <f aca="false">'Fleet Build'!F20</f>
        <v>2000</v>
      </c>
      <c r="I195" s="127" t="n">
        <f aca="false">'Fleet Build'!G20</f>
        <v>2099</v>
      </c>
      <c r="J195" s="128" t="n">
        <f aca="false">MAX(0,MIN(F195,I195)-MAX(E195,H195))</f>
        <v>0.25</v>
      </c>
      <c r="K195" s="129" t="n">
        <f aca="false">G195*J195*'Fleet Build'!$K$58/1000000</f>
        <v>0.210970458479629</v>
      </c>
    </row>
    <row r="196" customFormat="false" ht="15" hidden="false" customHeight="false" outlineLevel="0" collapsed="false">
      <c r="B196" s="125" t="str">
        <f aca="false">'Fleet Build'!B20</f>
        <v>Norwegian Gem</v>
      </c>
      <c r="C196" s="125" t="str">
        <f aca="false">'Fleet Build'!C20</f>
        <v>Norwegian</v>
      </c>
      <c r="D196" s="9" t="s">
        <v>201</v>
      </c>
      <c r="E196" s="111" t="n">
        <f aca="false">K$6</f>
        <v>2026.75</v>
      </c>
      <c r="F196" s="111" t="n">
        <f aca="false">E196+0.25</f>
        <v>2027</v>
      </c>
      <c r="G196" s="126" t="n">
        <f aca="false">'Fleet Build'!E20</f>
        <v>2368.35763165725</v>
      </c>
      <c r="H196" s="127" t="n">
        <f aca="false">'Fleet Build'!F20</f>
        <v>2000</v>
      </c>
      <c r="I196" s="127" t="n">
        <f aca="false">'Fleet Build'!G20</f>
        <v>2099</v>
      </c>
      <c r="J196" s="128" t="n">
        <f aca="false">MAX(0,MIN(F196,I196)-MAX(E196,H196))</f>
        <v>0.25</v>
      </c>
      <c r="K196" s="129" t="n">
        <f aca="false">G196*J196*'Fleet Build'!$K$58/1000000</f>
        <v>0.210970458479629</v>
      </c>
    </row>
    <row r="197" customFormat="false" ht="15" hidden="false" customHeight="false" outlineLevel="0" collapsed="false">
      <c r="B197" s="125" t="str">
        <f aca="false">'Fleet Build'!B20</f>
        <v>Norwegian Gem</v>
      </c>
      <c r="C197" s="125" t="str">
        <f aca="false">'Fleet Build'!C20</f>
        <v>Norwegian</v>
      </c>
      <c r="D197" s="9" t="s">
        <v>202</v>
      </c>
      <c r="E197" s="111" t="n">
        <f aca="false">L$6</f>
        <v>2027</v>
      </c>
      <c r="F197" s="111" t="n">
        <f aca="false">E197+0.25</f>
        <v>2027.25</v>
      </c>
      <c r="G197" s="126" t="n">
        <f aca="false">'Fleet Build'!E20</f>
        <v>2368.35763165725</v>
      </c>
      <c r="H197" s="127" t="n">
        <f aca="false">'Fleet Build'!F20</f>
        <v>2000</v>
      </c>
      <c r="I197" s="127" t="n">
        <f aca="false">'Fleet Build'!G20</f>
        <v>2099</v>
      </c>
      <c r="J197" s="128" t="n">
        <f aca="false">MAX(0,MIN(F197,I197)-MAX(E197,H197))</f>
        <v>0.25</v>
      </c>
      <c r="K197" s="129" t="n">
        <f aca="false">G197*J197*'Fleet Build'!$K$58/1000000</f>
        <v>0.210970458479629</v>
      </c>
    </row>
    <row r="198" customFormat="false" ht="15" hidden="false" customHeight="false" outlineLevel="0" collapsed="false">
      <c r="B198" s="125" t="str">
        <f aca="false">'Fleet Build'!B20</f>
        <v>Norwegian Gem</v>
      </c>
      <c r="C198" s="125" t="str">
        <f aca="false">'Fleet Build'!C20</f>
        <v>Norwegian</v>
      </c>
      <c r="D198" s="9" t="s">
        <v>203</v>
      </c>
      <c r="E198" s="111" t="n">
        <f aca="false">M$6</f>
        <v>2027.25</v>
      </c>
      <c r="F198" s="111" t="n">
        <f aca="false">E198+0.25</f>
        <v>2027.5</v>
      </c>
      <c r="G198" s="126" t="n">
        <f aca="false">'Fleet Build'!E20</f>
        <v>2368.35763165725</v>
      </c>
      <c r="H198" s="127" t="n">
        <f aca="false">'Fleet Build'!F20</f>
        <v>2000</v>
      </c>
      <c r="I198" s="127" t="n">
        <f aca="false">'Fleet Build'!G20</f>
        <v>2099</v>
      </c>
      <c r="J198" s="128" t="n">
        <f aca="false">MAX(0,MIN(F198,I198)-MAX(E198,H198))</f>
        <v>0.25</v>
      </c>
      <c r="K198" s="129" t="n">
        <f aca="false">G198*J198*'Fleet Build'!$K$58/1000000</f>
        <v>0.210970458479629</v>
      </c>
    </row>
    <row r="199" customFormat="false" ht="15" hidden="false" customHeight="false" outlineLevel="0" collapsed="false">
      <c r="B199" s="125" t="str">
        <f aca="false">'Fleet Build'!B20</f>
        <v>Norwegian Gem</v>
      </c>
      <c r="C199" s="125" t="str">
        <f aca="false">'Fleet Build'!C20</f>
        <v>Norwegian</v>
      </c>
      <c r="D199" s="9" t="s">
        <v>204</v>
      </c>
      <c r="E199" s="111" t="n">
        <f aca="false">N$6</f>
        <v>2027.5</v>
      </c>
      <c r="F199" s="111" t="n">
        <f aca="false">E199+0.25</f>
        <v>2027.75</v>
      </c>
      <c r="G199" s="126" t="n">
        <f aca="false">'Fleet Build'!E20</f>
        <v>2368.35763165725</v>
      </c>
      <c r="H199" s="127" t="n">
        <f aca="false">'Fleet Build'!F20</f>
        <v>2000</v>
      </c>
      <c r="I199" s="127" t="n">
        <f aca="false">'Fleet Build'!G20</f>
        <v>2099</v>
      </c>
      <c r="J199" s="128" t="n">
        <f aca="false">MAX(0,MIN(F199,I199)-MAX(E199,H199))</f>
        <v>0.25</v>
      </c>
      <c r="K199" s="129" t="n">
        <f aca="false">G199*J199*'Fleet Build'!$K$58/1000000</f>
        <v>0.210970458479629</v>
      </c>
    </row>
    <row r="200" customFormat="false" ht="15" hidden="false" customHeight="false" outlineLevel="0" collapsed="false">
      <c r="B200" s="125" t="str">
        <f aca="false">'Fleet Build'!B20</f>
        <v>Norwegian Gem</v>
      </c>
      <c r="C200" s="125" t="str">
        <f aca="false">'Fleet Build'!C20</f>
        <v>Norwegian</v>
      </c>
      <c r="D200" s="9" t="s">
        <v>205</v>
      </c>
      <c r="E200" s="111" t="n">
        <f aca="false">O$6</f>
        <v>2027.75</v>
      </c>
      <c r="F200" s="111" t="n">
        <f aca="false">E200+0.25</f>
        <v>2028</v>
      </c>
      <c r="G200" s="126" t="n">
        <f aca="false">'Fleet Build'!E20</f>
        <v>2368.35763165725</v>
      </c>
      <c r="H200" s="127" t="n">
        <f aca="false">'Fleet Build'!F20</f>
        <v>2000</v>
      </c>
      <c r="I200" s="127" t="n">
        <f aca="false">'Fleet Build'!G20</f>
        <v>2099</v>
      </c>
      <c r="J200" s="128" t="n">
        <f aca="false">MAX(0,MIN(F200,I200)-MAX(E200,H200))</f>
        <v>0.25</v>
      </c>
      <c r="K200" s="129" t="n">
        <f aca="false">G200*J200*'Fleet Build'!$K$58/1000000</f>
        <v>0.210970458479629</v>
      </c>
    </row>
    <row r="201" customFormat="false" ht="15" hidden="false" customHeight="false" outlineLevel="0" collapsed="false">
      <c r="B201" s="125" t="str">
        <f aca="false">'Fleet Build'!B21</f>
        <v>Norwegian Jade</v>
      </c>
      <c r="C201" s="125" t="str">
        <f aca="false">'Fleet Build'!C21</f>
        <v>Norwegian</v>
      </c>
      <c r="D201" s="9" t="s">
        <v>617</v>
      </c>
      <c r="E201" s="111" t="n">
        <f aca="false">D$6</f>
        <v>2025</v>
      </c>
      <c r="F201" s="111" t="n">
        <f aca="false">E201+0.25</f>
        <v>2025.25</v>
      </c>
      <c r="G201" s="126" t="n">
        <f aca="false">'Fleet Build'!E21</f>
        <v>2376.27194287414</v>
      </c>
      <c r="H201" s="127" t="n">
        <f aca="false">'Fleet Build'!F21</f>
        <v>2000</v>
      </c>
      <c r="I201" s="127" t="n">
        <f aca="false">'Fleet Build'!G21</f>
        <v>2099</v>
      </c>
      <c r="J201" s="128" t="n">
        <f aca="false">MAX(0,MIN(F201,I201)-MAX(E201,H201))</f>
        <v>0.25</v>
      </c>
      <c r="K201" s="129" t="n">
        <f aca="false">G201*J201*'Fleet Build'!$K$58/1000000</f>
        <v>0.211675455834616</v>
      </c>
    </row>
    <row r="202" customFormat="false" ht="15" hidden="false" customHeight="false" outlineLevel="0" collapsed="false">
      <c r="B202" s="125" t="str">
        <f aca="false">'Fleet Build'!B21</f>
        <v>Norwegian Jade</v>
      </c>
      <c r="C202" s="125" t="str">
        <f aca="false">'Fleet Build'!C21</f>
        <v>Norwegian</v>
      </c>
      <c r="D202" s="9" t="s">
        <v>618</v>
      </c>
      <c r="E202" s="111" t="n">
        <f aca="false">E$6</f>
        <v>2025.25</v>
      </c>
      <c r="F202" s="111" t="n">
        <f aca="false">E202+0.25</f>
        <v>2025.5</v>
      </c>
      <c r="G202" s="126" t="n">
        <f aca="false">'Fleet Build'!E21</f>
        <v>2376.27194287414</v>
      </c>
      <c r="H202" s="127" t="n">
        <f aca="false">'Fleet Build'!F21</f>
        <v>2000</v>
      </c>
      <c r="I202" s="127" t="n">
        <f aca="false">'Fleet Build'!G21</f>
        <v>2099</v>
      </c>
      <c r="J202" s="128" t="n">
        <f aca="false">MAX(0,MIN(F202,I202)-MAX(E202,H202))</f>
        <v>0.25</v>
      </c>
      <c r="K202" s="129" t="n">
        <f aca="false">G202*J202*'Fleet Build'!$K$58/1000000</f>
        <v>0.211675455834616</v>
      </c>
    </row>
    <row r="203" customFormat="false" ht="15" hidden="false" customHeight="false" outlineLevel="0" collapsed="false">
      <c r="B203" s="125" t="str">
        <f aca="false">'Fleet Build'!B21</f>
        <v>Norwegian Jade</v>
      </c>
      <c r="C203" s="125" t="str">
        <f aca="false">'Fleet Build'!C21</f>
        <v>Norwegian</v>
      </c>
      <c r="D203" s="9" t="s">
        <v>619</v>
      </c>
      <c r="E203" s="111" t="n">
        <f aca="false">F$6</f>
        <v>2025.5</v>
      </c>
      <c r="F203" s="111" t="n">
        <f aca="false">E203+0.25</f>
        <v>2025.75</v>
      </c>
      <c r="G203" s="126" t="n">
        <f aca="false">'Fleet Build'!E21</f>
        <v>2376.27194287414</v>
      </c>
      <c r="H203" s="127" t="n">
        <f aca="false">'Fleet Build'!F21</f>
        <v>2000</v>
      </c>
      <c r="I203" s="127" t="n">
        <f aca="false">'Fleet Build'!G21</f>
        <v>2099</v>
      </c>
      <c r="J203" s="128" t="n">
        <f aca="false">MAX(0,MIN(F203,I203)-MAX(E203,H203))</f>
        <v>0.25</v>
      </c>
      <c r="K203" s="129" t="n">
        <f aca="false">G203*J203*'Fleet Build'!$K$58/1000000</f>
        <v>0.211675455834616</v>
      </c>
    </row>
    <row r="204" customFormat="false" ht="15" hidden="false" customHeight="false" outlineLevel="0" collapsed="false">
      <c r="B204" s="125" t="str">
        <f aca="false">'Fleet Build'!B21</f>
        <v>Norwegian Jade</v>
      </c>
      <c r="C204" s="125" t="str">
        <f aca="false">'Fleet Build'!C21</f>
        <v>Norwegian</v>
      </c>
      <c r="D204" s="9" t="s">
        <v>620</v>
      </c>
      <c r="E204" s="111" t="n">
        <f aca="false">G$6</f>
        <v>2025.75</v>
      </c>
      <c r="F204" s="111" t="n">
        <f aca="false">E204+0.25</f>
        <v>2026</v>
      </c>
      <c r="G204" s="126" t="n">
        <f aca="false">'Fleet Build'!E21</f>
        <v>2376.27194287414</v>
      </c>
      <c r="H204" s="127" t="n">
        <f aca="false">'Fleet Build'!F21</f>
        <v>2000</v>
      </c>
      <c r="I204" s="127" t="n">
        <f aca="false">'Fleet Build'!G21</f>
        <v>2099</v>
      </c>
      <c r="J204" s="128" t="n">
        <f aca="false">MAX(0,MIN(F204,I204)-MAX(E204,H204))</f>
        <v>0.25</v>
      </c>
      <c r="K204" s="129" t="n">
        <f aca="false">G204*J204*'Fleet Build'!$K$58/1000000</f>
        <v>0.211675455834616</v>
      </c>
    </row>
    <row r="205" customFormat="false" ht="15" hidden="false" customHeight="false" outlineLevel="0" collapsed="false">
      <c r="B205" s="125" t="str">
        <f aca="false">'Fleet Build'!B21</f>
        <v>Norwegian Jade</v>
      </c>
      <c r="C205" s="125" t="str">
        <f aca="false">'Fleet Build'!C21</f>
        <v>Norwegian</v>
      </c>
      <c r="D205" s="9" t="s">
        <v>621</v>
      </c>
      <c r="E205" s="111" t="n">
        <f aca="false">H$6</f>
        <v>2026</v>
      </c>
      <c r="F205" s="111" t="n">
        <f aca="false">E205+0.25</f>
        <v>2026.25</v>
      </c>
      <c r="G205" s="126" t="n">
        <f aca="false">'Fleet Build'!E21</f>
        <v>2376.27194287414</v>
      </c>
      <c r="H205" s="127" t="n">
        <f aca="false">'Fleet Build'!F21</f>
        <v>2000</v>
      </c>
      <c r="I205" s="127" t="n">
        <f aca="false">'Fleet Build'!G21</f>
        <v>2099</v>
      </c>
      <c r="J205" s="128" t="n">
        <f aca="false">MAX(0,MIN(F205,I205)-MAX(E205,H205))</f>
        <v>0.25</v>
      </c>
      <c r="K205" s="129" t="n">
        <f aca="false">G205*J205*'Fleet Build'!$K$58/1000000</f>
        <v>0.211675455834616</v>
      </c>
    </row>
    <row r="206" customFormat="false" ht="15" hidden="false" customHeight="false" outlineLevel="0" collapsed="false">
      <c r="B206" s="125" t="str">
        <f aca="false">'Fleet Build'!B21</f>
        <v>Norwegian Jade</v>
      </c>
      <c r="C206" s="125" t="str">
        <f aca="false">'Fleet Build'!C21</f>
        <v>Norwegian</v>
      </c>
      <c r="D206" s="9" t="s">
        <v>622</v>
      </c>
      <c r="E206" s="111" t="n">
        <f aca="false">I$6</f>
        <v>2026.25</v>
      </c>
      <c r="F206" s="111" t="n">
        <f aca="false">E206+0.25</f>
        <v>2026.5</v>
      </c>
      <c r="G206" s="126" t="n">
        <f aca="false">'Fleet Build'!E21</f>
        <v>2376.27194287414</v>
      </c>
      <c r="H206" s="127" t="n">
        <f aca="false">'Fleet Build'!F21</f>
        <v>2000</v>
      </c>
      <c r="I206" s="127" t="n">
        <f aca="false">'Fleet Build'!G21</f>
        <v>2099</v>
      </c>
      <c r="J206" s="128" t="n">
        <f aca="false">MAX(0,MIN(F206,I206)-MAX(E206,H206))</f>
        <v>0.25</v>
      </c>
      <c r="K206" s="129" t="n">
        <f aca="false">G206*J206*'Fleet Build'!$K$58/1000000</f>
        <v>0.211675455834616</v>
      </c>
    </row>
    <row r="207" customFormat="false" ht="15" hidden="false" customHeight="false" outlineLevel="0" collapsed="false">
      <c r="B207" s="125" t="str">
        <f aca="false">'Fleet Build'!B21</f>
        <v>Norwegian Jade</v>
      </c>
      <c r="C207" s="125" t="str">
        <f aca="false">'Fleet Build'!C21</f>
        <v>Norwegian</v>
      </c>
      <c r="D207" s="9" t="s">
        <v>200</v>
      </c>
      <c r="E207" s="111" t="n">
        <f aca="false">J$6</f>
        <v>2026.5</v>
      </c>
      <c r="F207" s="111" t="n">
        <f aca="false">E207+0.25</f>
        <v>2026.75</v>
      </c>
      <c r="G207" s="126" t="n">
        <f aca="false">'Fleet Build'!E21</f>
        <v>2376.27194287414</v>
      </c>
      <c r="H207" s="127" t="n">
        <f aca="false">'Fleet Build'!F21</f>
        <v>2000</v>
      </c>
      <c r="I207" s="127" t="n">
        <f aca="false">'Fleet Build'!G21</f>
        <v>2099</v>
      </c>
      <c r="J207" s="128" t="n">
        <f aca="false">MAX(0,MIN(F207,I207)-MAX(E207,H207))</f>
        <v>0.25</v>
      </c>
      <c r="K207" s="129" t="n">
        <f aca="false">G207*J207*'Fleet Build'!$K$58/1000000</f>
        <v>0.211675455834616</v>
      </c>
    </row>
    <row r="208" customFormat="false" ht="15" hidden="false" customHeight="false" outlineLevel="0" collapsed="false">
      <c r="B208" s="125" t="str">
        <f aca="false">'Fleet Build'!B21</f>
        <v>Norwegian Jade</v>
      </c>
      <c r="C208" s="125" t="str">
        <f aca="false">'Fleet Build'!C21</f>
        <v>Norwegian</v>
      </c>
      <c r="D208" s="9" t="s">
        <v>201</v>
      </c>
      <c r="E208" s="111" t="n">
        <f aca="false">K$6</f>
        <v>2026.75</v>
      </c>
      <c r="F208" s="111" t="n">
        <f aca="false">E208+0.25</f>
        <v>2027</v>
      </c>
      <c r="G208" s="126" t="n">
        <f aca="false">'Fleet Build'!E21</f>
        <v>2376.27194287414</v>
      </c>
      <c r="H208" s="127" t="n">
        <f aca="false">'Fleet Build'!F21</f>
        <v>2000</v>
      </c>
      <c r="I208" s="127" t="n">
        <f aca="false">'Fleet Build'!G21</f>
        <v>2099</v>
      </c>
      <c r="J208" s="128" t="n">
        <f aca="false">MAX(0,MIN(F208,I208)-MAX(E208,H208))</f>
        <v>0.25</v>
      </c>
      <c r="K208" s="129" t="n">
        <f aca="false">G208*J208*'Fleet Build'!$K$58/1000000</f>
        <v>0.211675455834616</v>
      </c>
    </row>
    <row r="209" customFormat="false" ht="15" hidden="false" customHeight="false" outlineLevel="0" collapsed="false">
      <c r="B209" s="125" t="str">
        <f aca="false">'Fleet Build'!B21</f>
        <v>Norwegian Jade</v>
      </c>
      <c r="C209" s="125" t="str">
        <f aca="false">'Fleet Build'!C21</f>
        <v>Norwegian</v>
      </c>
      <c r="D209" s="9" t="s">
        <v>202</v>
      </c>
      <c r="E209" s="111" t="n">
        <f aca="false">L$6</f>
        <v>2027</v>
      </c>
      <c r="F209" s="111" t="n">
        <f aca="false">E209+0.25</f>
        <v>2027.25</v>
      </c>
      <c r="G209" s="126" t="n">
        <f aca="false">'Fleet Build'!E21</f>
        <v>2376.27194287414</v>
      </c>
      <c r="H209" s="127" t="n">
        <f aca="false">'Fleet Build'!F21</f>
        <v>2000</v>
      </c>
      <c r="I209" s="127" t="n">
        <f aca="false">'Fleet Build'!G21</f>
        <v>2099</v>
      </c>
      <c r="J209" s="128" t="n">
        <f aca="false">MAX(0,MIN(F209,I209)-MAX(E209,H209))</f>
        <v>0.25</v>
      </c>
      <c r="K209" s="129" t="n">
        <f aca="false">G209*J209*'Fleet Build'!$K$58/1000000</f>
        <v>0.211675455834616</v>
      </c>
    </row>
    <row r="210" customFormat="false" ht="15" hidden="false" customHeight="false" outlineLevel="0" collapsed="false">
      <c r="B210" s="125" t="str">
        <f aca="false">'Fleet Build'!B21</f>
        <v>Norwegian Jade</v>
      </c>
      <c r="C210" s="125" t="str">
        <f aca="false">'Fleet Build'!C21</f>
        <v>Norwegian</v>
      </c>
      <c r="D210" s="9" t="s">
        <v>203</v>
      </c>
      <c r="E210" s="111" t="n">
        <f aca="false">M$6</f>
        <v>2027.25</v>
      </c>
      <c r="F210" s="111" t="n">
        <f aca="false">E210+0.25</f>
        <v>2027.5</v>
      </c>
      <c r="G210" s="126" t="n">
        <f aca="false">'Fleet Build'!E21</f>
        <v>2376.27194287414</v>
      </c>
      <c r="H210" s="127" t="n">
        <f aca="false">'Fleet Build'!F21</f>
        <v>2000</v>
      </c>
      <c r="I210" s="127" t="n">
        <f aca="false">'Fleet Build'!G21</f>
        <v>2099</v>
      </c>
      <c r="J210" s="128" t="n">
        <f aca="false">MAX(0,MIN(F210,I210)-MAX(E210,H210))</f>
        <v>0.25</v>
      </c>
      <c r="K210" s="129" t="n">
        <f aca="false">G210*J210*'Fleet Build'!$K$58/1000000</f>
        <v>0.211675455834616</v>
      </c>
    </row>
    <row r="211" customFormat="false" ht="15" hidden="false" customHeight="false" outlineLevel="0" collapsed="false">
      <c r="B211" s="125" t="str">
        <f aca="false">'Fleet Build'!B21</f>
        <v>Norwegian Jade</v>
      </c>
      <c r="C211" s="125" t="str">
        <f aca="false">'Fleet Build'!C21</f>
        <v>Norwegian</v>
      </c>
      <c r="D211" s="9" t="s">
        <v>204</v>
      </c>
      <c r="E211" s="111" t="n">
        <f aca="false">N$6</f>
        <v>2027.5</v>
      </c>
      <c r="F211" s="111" t="n">
        <f aca="false">E211+0.25</f>
        <v>2027.75</v>
      </c>
      <c r="G211" s="126" t="n">
        <f aca="false">'Fleet Build'!E21</f>
        <v>2376.27194287414</v>
      </c>
      <c r="H211" s="127" t="n">
        <f aca="false">'Fleet Build'!F21</f>
        <v>2000</v>
      </c>
      <c r="I211" s="127" t="n">
        <f aca="false">'Fleet Build'!G21</f>
        <v>2099</v>
      </c>
      <c r="J211" s="128" t="n">
        <f aca="false">MAX(0,MIN(F211,I211)-MAX(E211,H211))</f>
        <v>0.25</v>
      </c>
      <c r="K211" s="129" t="n">
        <f aca="false">G211*J211*'Fleet Build'!$K$58/1000000</f>
        <v>0.211675455834616</v>
      </c>
    </row>
    <row r="212" customFormat="false" ht="15" hidden="false" customHeight="false" outlineLevel="0" collapsed="false">
      <c r="B212" s="125" t="str">
        <f aca="false">'Fleet Build'!B21</f>
        <v>Norwegian Jade</v>
      </c>
      <c r="C212" s="125" t="str">
        <f aca="false">'Fleet Build'!C21</f>
        <v>Norwegian</v>
      </c>
      <c r="D212" s="9" t="s">
        <v>205</v>
      </c>
      <c r="E212" s="111" t="n">
        <f aca="false">O$6</f>
        <v>2027.75</v>
      </c>
      <c r="F212" s="111" t="n">
        <f aca="false">E212+0.25</f>
        <v>2028</v>
      </c>
      <c r="G212" s="126" t="n">
        <f aca="false">'Fleet Build'!E21</f>
        <v>2376.27194287414</v>
      </c>
      <c r="H212" s="127" t="n">
        <f aca="false">'Fleet Build'!F21</f>
        <v>2000</v>
      </c>
      <c r="I212" s="127" t="n">
        <f aca="false">'Fleet Build'!G21</f>
        <v>2099</v>
      </c>
      <c r="J212" s="128" t="n">
        <f aca="false">MAX(0,MIN(F212,I212)-MAX(E212,H212))</f>
        <v>0.25</v>
      </c>
      <c r="K212" s="129" t="n">
        <f aca="false">G212*J212*'Fleet Build'!$K$58/1000000</f>
        <v>0.211675455834616</v>
      </c>
    </row>
    <row r="213" customFormat="false" ht="15" hidden="false" customHeight="false" outlineLevel="0" collapsed="false">
      <c r="B213" s="125" t="str">
        <f aca="false">'Fleet Build'!B22</f>
        <v>Norwegian Pearl</v>
      </c>
      <c r="C213" s="125" t="str">
        <f aca="false">'Fleet Build'!C22</f>
        <v>Norwegian</v>
      </c>
      <c r="D213" s="9" t="s">
        <v>617</v>
      </c>
      <c r="E213" s="111" t="n">
        <f aca="false">D$6</f>
        <v>2025</v>
      </c>
      <c r="F213" s="111" t="n">
        <f aca="false">E213+0.25</f>
        <v>2025.25</v>
      </c>
      <c r="G213" s="126" t="n">
        <f aca="false">'Fleet Build'!E22</f>
        <v>2368.35763165725</v>
      </c>
      <c r="H213" s="127" t="n">
        <f aca="false">'Fleet Build'!F22</f>
        <v>2000</v>
      </c>
      <c r="I213" s="127" t="n">
        <f aca="false">'Fleet Build'!G22</f>
        <v>2099</v>
      </c>
      <c r="J213" s="128" t="n">
        <f aca="false">MAX(0,MIN(F213,I213)-MAX(E213,H213))</f>
        <v>0.25</v>
      </c>
      <c r="K213" s="129" t="n">
        <f aca="false">G213*J213*'Fleet Build'!$K$58/1000000</f>
        <v>0.210970458479629</v>
      </c>
    </row>
    <row r="214" customFormat="false" ht="15" hidden="false" customHeight="false" outlineLevel="0" collapsed="false">
      <c r="B214" s="125" t="str">
        <f aca="false">'Fleet Build'!B22</f>
        <v>Norwegian Pearl</v>
      </c>
      <c r="C214" s="125" t="str">
        <f aca="false">'Fleet Build'!C22</f>
        <v>Norwegian</v>
      </c>
      <c r="D214" s="9" t="s">
        <v>618</v>
      </c>
      <c r="E214" s="111" t="n">
        <f aca="false">E$6</f>
        <v>2025.25</v>
      </c>
      <c r="F214" s="111" t="n">
        <f aca="false">E214+0.25</f>
        <v>2025.5</v>
      </c>
      <c r="G214" s="126" t="n">
        <f aca="false">'Fleet Build'!E22</f>
        <v>2368.35763165725</v>
      </c>
      <c r="H214" s="127" t="n">
        <f aca="false">'Fleet Build'!F22</f>
        <v>2000</v>
      </c>
      <c r="I214" s="127" t="n">
        <f aca="false">'Fleet Build'!G22</f>
        <v>2099</v>
      </c>
      <c r="J214" s="128" t="n">
        <f aca="false">MAX(0,MIN(F214,I214)-MAX(E214,H214))</f>
        <v>0.25</v>
      </c>
      <c r="K214" s="129" t="n">
        <f aca="false">G214*J214*'Fleet Build'!$K$58/1000000</f>
        <v>0.210970458479629</v>
      </c>
    </row>
    <row r="215" customFormat="false" ht="15" hidden="false" customHeight="false" outlineLevel="0" collapsed="false">
      <c r="B215" s="125" t="str">
        <f aca="false">'Fleet Build'!B22</f>
        <v>Norwegian Pearl</v>
      </c>
      <c r="C215" s="125" t="str">
        <f aca="false">'Fleet Build'!C22</f>
        <v>Norwegian</v>
      </c>
      <c r="D215" s="9" t="s">
        <v>619</v>
      </c>
      <c r="E215" s="111" t="n">
        <f aca="false">F$6</f>
        <v>2025.5</v>
      </c>
      <c r="F215" s="111" t="n">
        <f aca="false">E215+0.25</f>
        <v>2025.75</v>
      </c>
      <c r="G215" s="126" t="n">
        <f aca="false">'Fleet Build'!E22</f>
        <v>2368.35763165725</v>
      </c>
      <c r="H215" s="127" t="n">
        <f aca="false">'Fleet Build'!F22</f>
        <v>2000</v>
      </c>
      <c r="I215" s="127" t="n">
        <f aca="false">'Fleet Build'!G22</f>
        <v>2099</v>
      </c>
      <c r="J215" s="128" t="n">
        <f aca="false">MAX(0,MIN(F215,I215)-MAX(E215,H215))</f>
        <v>0.25</v>
      </c>
      <c r="K215" s="129" t="n">
        <f aca="false">G215*J215*'Fleet Build'!$K$58/1000000</f>
        <v>0.210970458479629</v>
      </c>
    </row>
    <row r="216" customFormat="false" ht="15" hidden="false" customHeight="false" outlineLevel="0" collapsed="false">
      <c r="B216" s="125" t="str">
        <f aca="false">'Fleet Build'!B22</f>
        <v>Norwegian Pearl</v>
      </c>
      <c r="C216" s="125" t="str">
        <f aca="false">'Fleet Build'!C22</f>
        <v>Norwegian</v>
      </c>
      <c r="D216" s="9" t="s">
        <v>620</v>
      </c>
      <c r="E216" s="111" t="n">
        <f aca="false">G$6</f>
        <v>2025.75</v>
      </c>
      <c r="F216" s="111" t="n">
        <f aca="false">E216+0.25</f>
        <v>2026</v>
      </c>
      <c r="G216" s="126" t="n">
        <f aca="false">'Fleet Build'!E22</f>
        <v>2368.35763165725</v>
      </c>
      <c r="H216" s="127" t="n">
        <f aca="false">'Fleet Build'!F22</f>
        <v>2000</v>
      </c>
      <c r="I216" s="127" t="n">
        <f aca="false">'Fleet Build'!G22</f>
        <v>2099</v>
      </c>
      <c r="J216" s="128" t="n">
        <f aca="false">MAX(0,MIN(F216,I216)-MAX(E216,H216))</f>
        <v>0.25</v>
      </c>
      <c r="K216" s="129" t="n">
        <f aca="false">G216*J216*'Fleet Build'!$K$58/1000000</f>
        <v>0.210970458479629</v>
      </c>
    </row>
    <row r="217" customFormat="false" ht="15" hidden="false" customHeight="false" outlineLevel="0" collapsed="false">
      <c r="B217" s="125" t="str">
        <f aca="false">'Fleet Build'!B22</f>
        <v>Norwegian Pearl</v>
      </c>
      <c r="C217" s="125" t="str">
        <f aca="false">'Fleet Build'!C22</f>
        <v>Norwegian</v>
      </c>
      <c r="D217" s="9" t="s">
        <v>621</v>
      </c>
      <c r="E217" s="111" t="n">
        <f aca="false">H$6</f>
        <v>2026</v>
      </c>
      <c r="F217" s="111" t="n">
        <f aca="false">E217+0.25</f>
        <v>2026.25</v>
      </c>
      <c r="G217" s="126" t="n">
        <f aca="false">'Fleet Build'!E22</f>
        <v>2368.35763165725</v>
      </c>
      <c r="H217" s="127" t="n">
        <f aca="false">'Fleet Build'!F22</f>
        <v>2000</v>
      </c>
      <c r="I217" s="127" t="n">
        <f aca="false">'Fleet Build'!G22</f>
        <v>2099</v>
      </c>
      <c r="J217" s="128" t="n">
        <f aca="false">MAX(0,MIN(F217,I217)-MAX(E217,H217))</f>
        <v>0.25</v>
      </c>
      <c r="K217" s="129" t="n">
        <f aca="false">G217*J217*'Fleet Build'!$K$58/1000000</f>
        <v>0.210970458479629</v>
      </c>
    </row>
    <row r="218" customFormat="false" ht="15" hidden="false" customHeight="false" outlineLevel="0" collapsed="false">
      <c r="B218" s="125" t="str">
        <f aca="false">'Fleet Build'!B22</f>
        <v>Norwegian Pearl</v>
      </c>
      <c r="C218" s="125" t="str">
        <f aca="false">'Fleet Build'!C22</f>
        <v>Norwegian</v>
      </c>
      <c r="D218" s="9" t="s">
        <v>622</v>
      </c>
      <c r="E218" s="111" t="n">
        <f aca="false">I$6</f>
        <v>2026.25</v>
      </c>
      <c r="F218" s="111" t="n">
        <f aca="false">E218+0.25</f>
        <v>2026.5</v>
      </c>
      <c r="G218" s="126" t="n">
        <f aca="false">'Fleet Build'!E22</f>
        <v>2368.35763165725</v>
      </c>
      <c r="H218" s="127" t="n">
        <f aca="false">'Fleet Build'!F22</f>
        <v>2000</v>
      </c>
      <c r="I218" s="127" t="n">
        <f aca="false">'Fleet Build'!G22</f>
        <v>2099</v>
      </c>
      <c r="J218" s="128" t="n">
        <f aca="false">MAX(0,MIN(F218,I218)-MAX(E218,H218))</f>
        <v>0.25</v>
      </c>
      <c r="K218" s="129" t="n">
        <f aca="false">G218*J218*'Fleet Build'!$K$58/1000000</f>
        <v>0.210970458479629</v>
      </c>
    </row>
    <row r="219" customFormat="false" ht="15" hidden="false" customHeight="false" outlineLevel="0" collapsed="false">
      <c r="B219" s="125" t="str">
        <f aca="false">'Fleet Build'!B22</f>
        <v>Norwegian Pearl</v>
      </c>
      <c r="C219" s="125" t="str">
        <f aca="false">'Fleet Build'!C22</f>
        <v>Norwegian</v>
      </c>
      <c r="D219" s="9" t="s">
        <v>200</v>
      </c>
      <c r="E219" s="111" t="n">
        <f aca="false">J$6</f>
        <v>2026.5</v>
      </c>
      <c r="F219" s="111" t="n">
        <f aca="false">E219+0.25</f>
        <v>2026.75</v>
      </c>
      <c r="G219" s="126" t="n">
        <f aca="false">'Fleet Build'!E22</f>
        <v>2368.35763165725</v>
      </c>
      <c r="H219" s="127" t="n">
        <f aca="false">'Fleet Build'!F22</f>
        <v>2000</v>
      </c>
      <c r="I219" s="127" t="n">
        <f aca="false">'Fleet Build'!G22</f>
        <v>2099</v>
      </c>
      <c r="J219" s="128" t="n">
        <f aca="false">MAX(0,MIN(F219,I219)-MAX(E219,H219))</f>
        <v>0.25</v>
      </c>
      <c r="K219" s="129" t="n">
        <f aca="false">G219*J219*'Fleet Build'!$K$58/1000000</f>
        <v>0.210970458479629</v>
      </c>
    </row>
    <row r="220" customFormat="false" ht="15" hidden="false" customHeight="false" outlineLevel="0" collapsed="false">
      <c r="B220" s="125" t="str">
        <f aca="false">'Fleet Build'!B22</f>
        <v>Norwegian Pearl</v>
      </c>
      <c r="C220" s="125" t="str">
        <f aca="false">'Fleet Build'!C22</f>
        <v>Norwegian</v>
      </c>
      <c r="D220" s="9" t="s">
        <v>201</v>
      </c>
      <c r="E220" s="111" t="n">
        <f aca="false">K$6</f>
        <v>2026.75</v>
      </c>
      <c r="F220" s="111" t="n">
        <f aca="false">E220+0.25</f>
        <v>2027</v>
      </c>
      <c r="G220" s="126" t="n">
        <f aca="false">'Fleet Build'!E22</f>
        <v>2368.35763165725</v>
      </c>
      <c r="H220" s="127" t="n">
        <f aca="false">'Fleet Build'!F22</f>
        <v>2000</v>
      </c>
      <c r="I220" s="127" t="n">
        <f aca="false">'Fleet Build'!G22</f>
        <v>2099</v>
      </c>
      <c r="J220" s="128" t="n">
        <f aca="false">MAX(0,MIN(F220,I220)-MAX(E220,H220))</f>
        <v>0.25</v>
      </c>
      <c r="K220" s="129" t="n">
        <f aca="false">G220*J220*'Fleet Build'!$K$58/1000000</f>
        <v>0.210970458479629</v>
      </c>
    </row>
    <row r="221" customFormat="false" ht="15" hidden="false" customHeight="false" outlineLevel="0" collapsed="false">
      <c r="B221" s="125" t="str">
        <f aca="false">'Fleet Build'!B22</f>
        <v>Norwegian Pearl</v>
      </c>
      <c r="C221" s="125" t="str">
        <f aca="false">'Fleet Build'!C22</f>
        <v>Norwegian</v>
      </c>
      <c r="D221" s="9" t="s">
        <v>202</v>
      </c>
      <c r="E221" s="111" t="n">
        <f aca="false">L$6</f>
        <v>2027</v>
      </c>
      <c r="F221" s="111" t="n">
        <f aca="false">E221+0.25</f>
        <v>2027.25</v>
      </c>
      <c r="G221" s="126" t="n">
        <f aca="false">'Fleet Build'!E22</f>
        <v>2368.35763165725</v>
      </c>
      <c r="H221" s="127" t="n">
        <f aca="false">'Fleet Build'!F22</f>
        <v>2000</v>
      </c>
      <c r="I221" s="127" t="n">
        <f aca="false">'Fleet Build'!G22</f>
        <v>2099</v>
      </c>
      <c r="J221" s="128" t="n">
        <f aca="false">MAX(0,MIN(F221,I221)-MAX(E221,H221))</f>
        <v>0.25</v>
      </c>
      <c r="K221" s="129" t="n">
        <f aca="false">G221*J221*'Fleet Build'!$K$58/1000000</f>
        <v>0.210970458479629</v>
      </c>
    </row>
    <row r="222" customFormat="false" ht="15" hidden="false" customHeight="false" outlineLevel="0" collapsed="false">
      <c r="B222" s="125" t="str">
        <f aca="false">'Fleet Build'!B22</f>
        <v>Norwegian Pearl</v>
      </c>
      <c r="C222" s="125" t="str">
        <f aca="false">'Fleet Build'!C22</f>
        <v>Norwegian</v>
      </c>
      <c r="D222" s="9" t="s">
        <v>203</v>
      </c>
      <c r="E222" s="111" t="n">
        <f aca="false">M$6</f>
        <v>2027.25</v>
      </c>
      <c r="F222" s="111" t="n">
        <f aca="false">E222+0.25</f>
        <v>2027.5</v>
      </c>
      <c r="G222" s="126" t="n">
        <f aca="false">'Fleet Build'!E22</f>
        <v>2368.35763165725</v>
      </c>
      <c r="H222" s="127" t="n">
        <f aca="false">'Fleet Build'!F22</f>
        <v>2000</v>
      </c>
      <c r="I222" s="127" t="n">
        <f aca="false">'Fleet Build'!G22</f>
        <v>2099</v>
      </c>
      <c r="J222" s="128" t="n">
        <f aca="false">MAX(0,MIN(F222,I222)-MAX(E222,H222))</f>
        <v>0.25</v>
      </c>
      <c r="K222" s="129" t="n">
        <f aca="false">G222*J222*'Fleet Build'!$K$58/1000000</f>
        <v>0.210970458479629</v>
      </c>
    </row>
    <row r="223" customFormat="false" ht="15" hidden="false" customHeight="false" outlineLevel="0" collapsed="false">
      <c r="B223" s="125" t="str">
        <f aca="false">'Fleet Build'!B22</f>
        <v>Norwegian Pearl</v>
      </c>
      <c r="C223" s="125" t="str">
        <f aca="false">'Fleet Build'!C22</f>
        <v>Norwegian</v>
      </c>
      <c r="D223" s="9" t="s">
        <v>204</v>
      </c>
      <c r="E223" s="111" t="n">
        <f aca="false">N$6</f>
        <v>2027.5</v>
      </c>
      <c r="F223" s="111" t="n">
        <f aca="false">E223+0.25</f>
        <v>2027.75</v>
      </c>
      <c r="G223" s="126" t="n">
        <f aca="false">'Fleet Build'!E22</f>
        <v>2368.35763165725</v>
      </c>
      <c r="H223" s="127" t="n">
        <f aca="false">'Fleet Build'!F22</f>
        <v>2000</v>
      </c>
      <c r="I223" s="127" t="n">
        <f aca="false">'Fleet Build'!G22</f>
        <v>2099</v>
      </c>
      <c r="J223" s="128" t="n">
        <f aca="false">MAX(0,MIN(F223,I223)-MAX(E223,H223))</f>
        <v>0.25</v>
      </c>
      <c r="K223" s="129" t="n">
        <f aca="false">G223*J223*'Fleet Build'!$K$58/1000000</f>
        <v>0.210970458479629</v>
      </c>
    </row>
    <row r="224" customFormat="false" ht="15" hidden="false" customHeight="false" outlineLevel="0" collapsed="false">
      <c r="B224" s="125" t="str">
        <f aca="false">'Fleet Build'!B22</f>
        <v>Norwegian Pearl</v>
      </c>
      <c r="C224" s="125" t="str">
        <f aca="false">'Fleet Build'!C22</f>
        <v>Norwegian</v>
      </c>
      <c r="D224" s="9" t="s">
        <v>205</v>
      </c>
      <c r="E224" s="111" t="n">
        <f aca="false">O$6</f>
        <v>2027.75</v>
      </c>
      <c r="F224" s="111" t="n">
        <f aca="false">E224+0.25</f>
        <v>2028</v>
      </c>
      <c r="G224" s="126" t="n">
        <f aca="false">'Fleet Build'!E22</f>
        <v>2368.35763165725</v>
      </c>
      <c r="H224" s="127" t="n">
        <f aca="false">'Fleet Build'!F22</f>
        <v>2000</v>
      </c>
      <c r="I224" s="127" t="n">
        <f aca="false">'Fleet Build'!G22</f>
        <v>2099</v>
      </c>
      <c r="J224" s="128" t="n">
        <f aca="false">MAX(0,MIN(F224,I224)-MAX(E224,H224))</f>
        <v>0.25</v>
      </c>
      <c r="K224" s="129" t="n">
        <f aca="false">G224*J224*'Fleet Build'!$K$58/1000000</f>
        <v>0.210970458479629</v>
      </c>
    </row>
    <row r="225" customFormat="false" ht="15" hidden="false" customHeight="false" outlineLevel="0" collapsed="false">
      <c r="B225" s="125" t="str">
        <f aca="false">'Fleet Build'!B23</f>
        <v>Norwegian Jewel</v>
      </c>
      <c r="C225" s="125" t="str">
        <f aca="false">'Fleet Build'!C23</f>
        <v>Norwegian</v>
      </c>
      <c r="D225" s="9" t="s">
        <v>617</v>
      </c>
      <c r="E225" s="111" t="n">
        <f aca="false">D$6</f>
        <v>2025</v>
      </c>
      <c r="F225" s="111" t="n">
        <f aca="false">E225+0.25</f>
        <v>2025.25</v>
      </c>
      <c r="G225" s="126" t="n">
        <f aca="false">'Fleet Build'!E23</f>
        <v>2350.55043141922</v>
      </c>
      <c r="H225" s="127" t="n">
        <f aca="false">'Fleet Build'!F23</f>
        <v>2000</v>
      </c>
      <c r="I225" s="127" t="n">
        <f aca="false">'Fleet Build'!G23</f>
        <v>2099</v>
      </c>
      <c r="J225" s="128" t="n">
        <f aca="false">MAX(0,MIN(F225,I225)-MAX(E225,H225))</f>
        <v>0.25</v>
      </c>
      <c r="K225" s="129" t="n">
        <f aca="false">G225*J225*'Fleet Build'!$K$58/1000000</f>
        <v>0.20938421443091</v>
      </c>
    </row>
    <row r="226" customFormat="false" ht="15" hidden="false" customHeight="false" outlineLevel="0" collapsed="false">
      <c r="B226" s="125" t="str">
        <f aca="false">'Fleet Build'!B23</f>
        <v>Norwegian Jewel</v>
      </c>
      <c r="C226" s="125" t="str">
        <f aca="false">'Fleet Build'!C23</f>
        <v>Norwegian</v>
      </c>
      <c r="D226" s="9" t="s">
        <v>618</v>
      </c>
      <c r="E226" s="111" t="n">
        <f aca="false">E$6</f>
        <v>2025.25</v>
      </c>
      <c r="F226" s="111" t="n">
        <f aca="false">E226+0.25</f>
        <v>2025.5</v>
      </c>
      <c r="G226" s="126" t="n">
        <f aca="false">'Fleet Build'!E23</f>
        <v>2350.55043141922</v>
      </c>
      <c r="H226" s="127" t="n">
        <f aca="false">'Fleet Build'!F23</f>
        <v>2000</v>
      </c>
      <c r="I226" s="127" t="n">
        <f aca="false">'Fleet Build'!G23</f>
        <v>2099</v>
      </c>
      <c r="J226" s="128" t="n">
        <f aca="false">MAX(0,MIN(F226,I226)-MAX(E226,H226))</f>
        <v>0.25</v>
      </c>
      <c r="K226" s="129" t="n">
        <f aca="false">G226*J226*'Fleet Build'!$K$58/1000000</f>
        <v>0.20938421443091</v>
      </c>
    </row>
    <row r="227" customFormat="false" ht="15" hidden="false" customHeight="false" outlineLevel="0" collapsed="false">
      <c r="B227" s="125" t="str">
        <f aca="false">'Fleet Build'!B23</f>
        <v>Norwegian Jewel</v>
      </c>
      <c r="C227" s="125" t="str">
        <f aca="false">'Fleet Build'!C23</f>
        <v>Norwegian</v>
      </c>
      <c r="D227" s="9" t="s">
        <v>619</v>
      </c>
      <c r="E227" s="111" t="n">
        <f aca="false">F$6</f>
        <v>2025.5</v>
      </c>
      <c r="F227" s="111" t="n">
        <f aca="false">E227+0.25</f>
        <v>2025.75</v>
      </c>
      <c r="G227" s="126" t="n">
        <f aca="false">'Fleet Build'!E23</f>
        <v>2350.55043141922</v>
      </c>
      <c r="H227" s="127" t="n">
        <f aca="false">'Fleet Build'!F23</f>
        <v>2000</v>
      </c>
      <c r="I227" s="127" t="n">
        <f aca="false">'Fleet Build'!G23</f>
        <v>2099</v>
      </c>
      <c r="J227" s="128" t="n">
        <f aca="false">MAX(0,MIN(F227,I227)-MAX(E227,H227))</f>
        <v>0.25</v>
      </c>
      <c r="K227" s="129" t="n">
        <f aca="false">G227*J227*'Fleet Build'!$K$58/1000000</f>
        <v>0.20938421443091</v>
      </c>
    </row>
    <row r="228" customFormat="false" ht="15" hidden="false" customHeight="false" outlineLevel="0" collapsed="false">
      <c r="B228" s="125" t="str">
        <f aca="false">'Fleet Build'!B23</f>
        <v>Norwegian Jewel</v>
      </c>
      <c r="C228" s="125" t="str">
        <f aca="false">'Fleet Build'!C23</f>
        <v>Norwegian</v>
      </c>
      <c r="D228" s="9" t="s">
        <v>620</v>
      </c>
      <c r="E228" s="111" t="n">
        <f aca="false">G$6</f>
        <v>2025.75</v>
      </c>
      <c r="F228" s="111" t="n">
        <f aca="false">E228+0.25</f>
        <v>2026</v>
      </c>
      <c r="G228" s="126" t="n">
        <f aca="false">'Fleet Build'!E23</f>
        <v>2350.55043141922</v>
      </c>
      <c r="H228" s="127" t="n">
        <f aca="false">'Fleet Build'!F23</f>
        <v>2000</v>
      </c>
      <c r="I228" s="127" t="n">
        <f aca="false">'Fleet Build'!G23</f>
        <v>2099</v>
      </c>
      <c r="J228" s="128" t="n">
        <f aca="false">MAX(0,MIN(F228,I228)-MAX(E228,H228))</f>
        <v>0.25</v>
      </c>
      <c r="K228" s="129" t="n">
        <f aca="false">G228*J228*'Fleet Build'!$K$58/1000000</f>
        <v>0.20938421443091</v>
      </c>
    </row>
    <row r="229" customFormat="false" ht="15" hidden="false" customHeight="false" outlineLevel="0" collapsed="false">
      <c r="B229" s="125" t="str">
        <f aca="false">'Fleet Build'!B23</f>
        <v>Norwegian Jewel</v>
      </c>
      <c r="C229" s="125" t="str">
        <f aca="false">'Fleet Build'!C23</f>
        <v>Norwegian</v>
      </c>
      <c r="D229" s="9" t="s">
        <v>621</v>
      </c>
      <c r="E229" s="111" t="n">
        <f aca="false">H$6</f>
        <v>2026</v>
      </c>
      <c r="F229" s="111" t="n">
        <f aca="false">E229+0.25</f>
        <v>2026.25</v>
      </c>
      <c r="G229" s="126" t="n">
        <f aca="false">'Fleet Build'!E23</f>
        <v>2350.55043141922</v>
      </c>
      <c r="H229" s="127" t="n">
        <f aca="false">'Fleet Build'!F23</f>
        <v>2000</v>
      </c>
      <c r="I229" s="127" t="n">
        <f aca="false">'Fleet Build'!G23</f>
        <v>2099</v>
      </c>
      <c r="J229" s="128" t="n">
        <f aca="false">MAX(0,MIN(F229,I229)-MAX(E229,H229))</f>
        <v>0.25</v>
      </c>
      <c r="K229" s="129" t="n">
        <f aca="false">G229*J229*'Fleet Build'!$K$58/1000000</f>
        <v>0.20938421443091</v>
      </c>
    </row>
    <row r="230" customFormat="false" ht="15" hidden="false" customHeight="false" outlineLevel="0" collapsed="false">
      <c r="B230" s="125" t="str">
        <f aca="false">'Fleet Build'!B23</f>
        <v>Norwegian Jewel</v>
      </c>
      <c r="C230" s="125" t="str">
        <f aca="false">'Fleet Build'!C23</f>
        <v>Norwegian</v>
      </c>
      <c r="D230" s="9" t="s">
        <v>622</v>
      </c>
      <c r="E230" s="111" t="n">
        <f aca="false">I$6</f>
        <v>2026.25</v>
      </c>
      <c r="F230" s="111" t="n">
        <f aca="false">E230+0.25</f>
        <v>2026.5</v>
      </c>
      <c r="G230" s="126" t="n">
        <f aca="false">'Fleet Build'!E23</f>
        <v>2350.55043141922</v>
      </c>
      <c r="H230" s="127" t="n">
        <f aca="false">'Fleet Build'!F23</f>
        <v>2000</v>
      </c>
      <c r="I230" s="127" t="n">
        <f aca="false">'Fleet Build'!G23</f>
        <v>2099</v>
      </c>
      <c r="J230" s="128" t="n">
        <f aca="false">MAX(0,MIN(F230,I230)-MAX(E230,H230))</f>
        <v>0.25</v>
      </c>
      <c r="K230" s="129" t="n">
        <f aca="false">G230*J230*'Fleet Build'!$K$58/1000000</f>
        <v>0.20938421443091</v>
      </c>
    </row>
    <row r="231" customFormat="false" ht="15" hidden="false" customHeight="false" outlineLevel="0" collapsed="false">
      <c r="B231" s="125" t="str">
        <f aca="false">'Fleet Build'!B23</f>
        <v>Norwegian Jewel</v>
      </c>
      <c r="C231" s="125" t="str">
        <f aca="false">'Fleet Build'!C23</f>
        <v>Norwegian</v>
      </c>
      <c r="D231" s="9" t="s">
        <v>200</v>
      </c>
      <c r="E231" s="111" t="n">
        <f aca="false">J$6</f>
        <v>2026.5</v>
      </c>
      <c r="F231" s="111" t="n">
        <f aca="false">E231+0.25</f>
        <v>2026.75</v>
      </c>
      <c r="G231" s="126" t="n">
        <f aca="false">'Fleet Build'!E23</f>
        <v>2350.55043141922</v>
      </c>
      <c r="H231" s="127" t="n">
        <f aca="false">'Fleet Build'!F23</f>
        <v>2000</v>
      </c>
      <c r="I231" s="127" t="n">
        <f aca="false">'Fleet Build'!G23</f>
        <v>2099</v>
      </c>
      <c r="J231" s="128" t="n">
        <f aca="false">MAX(0,MIN(F231,I231)-MAX(E231,H231))</f>
        <v>0.25</v>
      </c>
      <c r="K231" s="129" t="n">
        <f aca="false">G231*J231*'Fleet Build'!$K$58/1000000</f>
        <v>0.20938421443091</v>
      </c>
    </row>
    <row r="232" customFormat="false" ht="15" hidden="false" customHeight="false" outlineLevel="0" collapsed="false">
      <c r="B232" s="125" t="str">
        <f aca="false">'Fleet Build'!B23</f>
        <v>Norwegian Jewel</v>
      </c>
      <c r="C232" s="125" t="str">
        <f aca="false">'Fleet Build'!C23</f>
        <v>Norwegian</v>
      </c>
      <c r="D232" s="9" t="s">
        <v>201</v>
      </c>
      <c r="E232" s="111" t="n">
        <f aca="false">K$6</f>
        <v>2026.75</v>
      </c>
      <c r="F232" s="111" t="n">
        <f aca="false">E232+0.25</f>
        <v>2027</v>
      </c>
      <c r="G232" s="126" t="n">
        <f aca="false">'Fleet Build'!E23</f>
        <v>2350.55043141922</v>
      </c>
      <c r="H232" s="127" t="n">
        <f aca="false">'Fleet Build'!F23</f>
        <v>2000</v>
      </c>
      <c r="I232" s="127" t="n">
        <f aca="false">'Fleet Build'!G23</f>
        <v>2099</v>
      </c>
      <c r="J232" s="128" t="n">
        <f aca="false">MAX(0,MIN(F232,I232)-MAX(E232,H232))</f>
        <v>0.25</v>
      </c>
      <c r="K232" s="129" t="n">
        <f aca="false">G232*J232*'Fleet Build'!$K$58/1000000</f>
        <v>0.20938421443091</v>
      </c>
    </row>
    <row r="233" customFormat="false" ht="15" hidden="false" customHeight="false" outlineLevel="0" collapsed="false">
      <c r="B233" s="125" t="str">
        <f aca="false">'Fleet Build'!B23</f>
        <v>Norwegian Jewel</v>
      </c>
      <c r="C233" s="125" t="str">
        <f aca="false">'Fleet Build'!C23</f>
        <v>Norwegian</v>
      </c>
      <c r="D233" s="9" t="s">
        <v>202</v>
      </c>
      <c r="E233" s="111" t="n">
        <f aca="false">L$6</f>
        <v>2027</v>
      </c>
      <c r="F233" s="111" t="n">
        <f aca="false">E233+0.25</f>
        <v>2027.25</v>
      </c>
      <c r="G233" s="126" t="n">
        <f aca="false">'Fleet Build'!E23</f>
        <v>2350.55043141922</v>
      </c>
      <c r="H233" s="127" t="n">
        <f aca="false">'Fleet Build'!F23</f>
        <v>2000</v>
      </c>
      <c r="I233" s="127" t="n">
        <f aca="false">'Fleet Build'!G23</f>
        <v>2099</v>
      </c>
      <c r="J233" s="128" t="n">
        <f aca="false">MAX(0,MIN(F233,I233)-MAX(E233,H233))</f>
        <v>0.25</v>
      </c>
      <c r="K233" s="129" t="n">
        <f aca="false">G233*J233*'Fleet Build'!$K$58/1000000</f>
        <v>0.20938421443091</v>
      </c>
    </row>
    <row r="234" customFormat="false" ht="15" hidden="false" customHeight="false" outlineLevel="0" collapsed="false">
      <c r="B234" s="125" t="str">
        <f aca="false">'Fleet Build'!B23</f>
        <v>Norwegian Jewel</v>
      </c>
      <c r="C234" s="125" t="str">
        <f aca="false">'Fleet Build'!C23</f>
        <v>Norwegian</v>
      </c>
      <c r="D234" s="9" t="s">
        <v>203</v>
      </c>
      <c r="E234" s="111" t="n">
        <f aca="false">M$6</f>
        <v>2027.25</v>
      </c>
      <c r="F234" s="111" t="n">
        <f aca="false">E234+0.25</f>
        <v>2027.5</v>
      </c>
      <c r="G234" s="126" t="n">
        <f aca="false">'Fleet Build'!E23</f>
        <v>2350.55043141922</v>
      </c>
      <c r="H234" s="127" t="n">
        <f aca="false">'Fleet Build'!F23</f>
        <v>2000</v>
      </c>
      <c r="I234" s="127" t="n">
        <f aca="false">'Fleet Build'!G23</f>
        <v>2099</v>
      </c>
      <c r="J234" s="128" t="n">
        <f aca="false">MAX(0,MIN(F234,I234)-MAX(E234,H234))</f>
        <v>0.25</v>
      </c>
      <c r="K234" s="129" t="n">
        <f aca="false">G234*J234*'Fleet Build'!$K$58/1000000</f>
        <v>0.20938421443091</v>
      </c>
    </row>
    <row r="235" customFormat="false" ht="15" hidden="false" customHeight="false" outlineLevel="0" collapsed="false">
      <c r="B235" s="125" t="str">
        <f aca="false">'Fleet Build'!B23</f>
        <v>Norwegian Jewel</v>
      </c>
      <c r="C235" s="125" t="str">
        <f aca="false">'Fleet Build'!C23</f>
        <v>Norwegian</v>
      </c>
      <c r="D235" s="9" t="s">
        <v>204</v>
      </c>
      <c r="E235" s="111" t="n">
        <f aca="false">N$6</f>
        <v>2027.5</v>
      </c>
      <c r="F235" s="111" t="n">
        <f aca="false">E235+0.25</f>
        <v>2027.75</v>
      </c>
      <c r="G235" s="126" t="n">
        <f aca="false">'Fleet Build'!E23</f>
        <v>2350.55043141922</v>
      </c>
      <c r="H235" s="127" t="n">
        <f aca="false">'Fleet Build'!F23</f>
        <v>2000</v>
      </c>
      <c r="I235" s="127" t="n">
        <f aca="false">'Fleet Build'!G23</f>
        <v>2099</v>
      </c>
      <c r="J235" s="128" t="n">
        <f aca="false">MAX(0,MIN(F235,I235)-MAX(E235,H235))</f>
        <v>0.25</v>
      </c>
      <c r="K235" s="129" t="n">
        <f aca="false">G235*J235*'Fleet Build'!$K$58/1000000</f>
        <v>0.20938421443091</v>
      </c>
    </row>
    <row r="236" customFormat="false" ht="15" hidden="false" customHeight="false" outlineLevel="0" collapsed="false">
      <c r="B236" s="125" t="str">
        <f aca="false">'Fleet Build'!B23</f>
        <v>Norwegian Jewel</v>
      </c>
      <c r="C236" s="125" t="str">
        <f aca="false">'Fleet Build'!C23</f>
        <v>Norwegian</v>
      </c>
      <c r="D236" s="9" t="s">
        <v>205</v>
      </c>
      <c r="E236" s="111" t="n">
        <f aca="false">O$6</f>
        <v>2027.75</v>
      </c>
      <c r="F236" s="111" t="n">
        <f aca="false">E236+0.25</f>
        <v>2028</v>
      </c>
      <c r="G236" s="126" t="n">
        <f aca="false">'Fleet Build'!E23</f>
        <v>2350.55043141922</v>
      </c>
      <c r="H236" s="127" t="n">
        <f aca="false">'Fleet Build'!F23</f>
        <v>2000</v>
      </c>
      <c r="I236" s="127" t="n">
        <f aca="false">'Fleet Build'!G23</f>
        <v>2099</v>
      </c>
      <c r="J236" s="128" t="n">
        <f aca="false">MAX(0,MIN(F236,I236)-MAX(E236,H236))</f>
        <v>0.25</v>
      </c>
      <c r="K236" s="129" t="n">
        <f aca="false">G236*J236*'Fleet Build'!$K$58/1000000</f>
        <v>0.20938421443091</v>
      </c>
    </row>
    <row r="237" customFormat="false" ht="15" hidden="false" customHeight="false" outlineLevel="0" collapsed="false">
      <c r="B237" s="125" t="str">
        <f aca="false">'Fleet Build'!B24</f>
        <v>Pride of America</v>
      </c>
      <c r="C237" s="125" t="str">
        <f aca="false">'Fleet Build'!C24</f>
        <v>Norwegian</v>
      </c>
      <c r="D237" s="9" t="s">
        <v>617</v>
      </c>
      <c r="E237" s="111" t="n">
        <f aca="false">D$6</f>
        <v>2025</v>
      </c>
      <c r="F237" s="111" t="n">
        <f aca="false">E237+0.25</f>
        <v>2025.25</v>
      </c>
      <c r="G237" s="126" t="n">
        <f aca="false">'Fleet Build'!E24</f>
        <v>2162.58554001785</v>
      </c>
      <c r="H237" s="127" t="n">
        <f aca="false">'Fleet Build'!F24</f>
        <v>2000</v>
      </c>
      <c r="I237" s="127" t="n">
        <f aca="false">'Fleet Build'!G24</f>
        <v>2099</v>
      </c>
      <c r="J237" s="128" t="n">
        <f aca="false">MAX(0,MIN(F237,I237)-MAX(E237,H237))</f>
        <v>0.25</v>
      </c>
      <c r="K237" s="129" t="n">
        <f aca="false">G237*J237*'Fleet Build'!$K$58/1000000</f>
        <v>0.192640527249987</v>
      </c>
    </row>
    <row r="238" customFormat="false" ht="15" hidden="false" customHeight="false" outlineLevel="0" collapsed="false">
      <c r="B238" s="125" t="str">
        <f aca="false">'Fleet Build'!B24</f>
        <v>Pride of America</v>
      </c>
      <c r="C238" s="125" t="str">
        <f aca="false">'Fleet Build'!C24</f>
        <v>Norwegian</v>
      </c>
      <c r="D238" s="9" t="s">
        <v>618</v>
      </c>
      <c r="E238" s="111" t="n">
        <f aca="false">E$6</f>
        <v>2025.25</v>
      </c>
      <c r="F238" s="111" t="n">
        <f aca="false">E238+0.25</f>
        <v>2025.5</v>
      </c>
      <c r="G238" s="126" t="n">
        <f aca="false">'Fleet Build'!E24</f>
        <v>2162.58554001785</v>
      </c>
      <c r="H238" s="127" t="n">
        <f aca="false">'Fleet Build'!F24</f>
        <v>2000</v>
      </c>
      <c r="I238" s="127" t="n">
        <f aca="false">'Fleet Build'!G24</f>
        <v>2099</v>
      </c>
      <c r="J238" s="128" t="n">
        <f aca="false">MAX(0,MIN(F238,I238)-MAX(E238,H238))</f>
        <v>0.25</v>
      </c>
      <c r="K238" s="129" t="n">
        <f aca="false">G238*J238*'Fleet Build'!$K$58/1000000</f>
        <v>0.192640527249987</v>
      </c>
    </row>
    <row r="239" customFormat="false" ht="15" hidden="false" customHeight="false" outlineLevel="0" collapsed="false">
      <c r="B239" s="125" t="str">
        <f aca="false">'Fleet Build'!B24</f>
        <v>Pride of America</v>
      </c>
      <c r="C239" s="125" t="str">
        <f aca="false">'Fleet Build'!C24</f>
        <v>Norwegian</v>
      </c>
      <c r="D239" s="9" t="s">
        <v>619</v>
      </c>
      <c r="E239" s="111" t="n">
        <f aca="false">F$6</f>
        <v>2025.5</v>
      </c>
      <c r="F239" s="111" t="n">
        <f aca="false">E239+0.25</f>
        <v>2025.75</v>
      </c>
      <c r="G239" s="126" t="n">
        <f aca="false">'Fleet Build'!E24</f>
        <v>2162.58554001785</v>
      </c>
      <c r="H239" s="127" t="n">
        <f aca="false">'Fleet Build'!F24</f>
        <v>2000</v>
      </c>
      <c r="I239" s="127" t="n">
        <f aca="false">'Fleet Build'!G24</f>
        <v>2099</v>
      </c>
      <c r="J239" s="128" t="n">
        <f aca="false">MAX(0,MIN(F239,I239)-MAX(E239,H239))</f>
        <v>0.25</v>
      </c>
      <c r="K239" s="129" t="n">
        <f aca="false">G239*J239*'Fleet Build'!$K$58/1000000</f>
        <v>0.192640527249987</v>
      </c>
    </row>
    <row r="240" customFormat="false" ht="15" hidden="false" customHeight="false" outlineLevel="0" collapsed="false">
      <c r="B240" s="125" t="str">
        <f aca="false">'Fleet Build'!B24</f>
        <v>Pride of America</v>
      </c>
      <c r="C240" s="125" t="str">
        <f aca="false">'Fleet Build'!C24</f>
        <v>Norwegian</v>
      </c>
      <c r="D240" s="9" t="s">
        <v>620</v>
      </c>
      <c r="E240" s="111" t="n">
        <f aca="false">G$6</f>
        <v>2025.75</v>
      </c>
      <c r="F240" s="111" t="n">
        <f aca="false">E240+0.25</f>
        <v>2026</v>
      </c>
      <c r="G240" s="126" t="n">
        <f aca="false">'Fleet Build'!E24</f>
        <v>2162.58554001785</v>
      </c>
      <c r="H240" s="127" t="n">
        <f aca="false">'Fleet Build'!F24</f>
        <v>2000</v>
      </c>
      <c r="I240" s="127" t="n">
        <f aca="false">'Fleet Build'!G24</f>
        <v>2099</v>
      </c>
      <c r="J240" s="128" t="n">
        <f aca="false">MAX(0,MIN(F240,I240)-MAX(E240,H240))</f>
        <v>0.25</v>
      </c>
      <c r="K240" s="129" t="n">
        <f aca="false">G240*J240*'Fleet Build'!$K$58/1000000</f>
        <v>0.192640527249987</v>
      </c>
    </row>
    <row r="241" customFormat="false" ht="15" hidden="false" customHeight="false" outlineLevel="0" collapsed="false">
      <c r="B241" s="125" t="str">
        <f aca="false">'Fleet Build'!B24</f>
        <v>Pride of America</v>
      </c>
      <c r="C241" s="125" t="str">
        <f aca="false">'Fleet Build'!C24</f>
        <v>Norwegian</v>
      </c>
      <c r="D241" s="9" t="s">
        <v>621</v>
      </c>
      <c r="E241" s="111" t="n">
        <f aca="false">H$6</f>
        <v>2026</v>
      </c>
      <c r="F241" s="111" t="n">
        <f aca="false">E241+0.25</f>
        <v>2026.25</v>
      </c>
      <c r="G241" s="126" t="n">
        <f aca="false">'Fleet Build'!E24</f>
        <v>2162.58554001785</v>
      </c>
      <c r="H241" s="127" t="n">
        <f aca="false">'Fleet Build'!F24</f>
        <v>2000</v>
      </c>
      <c r="I241" s="127" t="n">
        <f aca="false">'Fleet Build'!G24</f>
        <v>2099</v>
      </c>
      <c r="J241" s="128" t="n">
        <f aca="false">MAX(0,MIN(F241,I241)-MAX(E241,H241))</f>
        <v>0.25</v>
      </c>
      <c r="K241" s="129" t="n">
        <f aca="false">G241*J241*'Fleet Build'!$K$58/1000000</f>
        <v>0.192640527249987</v>
      </c>
    </row>
    <row r="242" customFormat="false" ht="15" hidden="false" customHeight="false" outlineLevel="0" collapsed="false">
      <c r="B242" s="125" t="str">
        <f aca="false">'Fleet Build'!B24</f>
        <v>Pride of America</v>
      </c>
      <c r="C242" s="125" t="str">
        <f aca="false">'Fleet Build'!C24</f>
        <v>Norwegian</v>
      </c>
      <c r="D242" s="9" t="s">
        <v>622</v>
      </c>
      <c r="E242" s="111" t="n">
        <f aca="false">I$6</f>
        <v>2026.25</v>
      </c>
      <c r="F242" s="111" t="n">
        <f aca="false">E242+0.25</f>
        <v>2026.5</v>
      </c>
      <c r="G242" s="126" t="n">
        <f aca="false">'Fleet Build'!E24</f>
        <v>2162.58554001785</v>
      </c>
      <c r="H242" s="127" t="n">
        <f aca="false">'Fleet Build'!F24</f>
        <v>2000</v>
      </c>
      <c r="I242" s="127" t="n">
        <f aca="false">'Fleet Build'!G24</f>
        <v>2099</v>
      </c>
      <c r="J242" s="128" t="n">
        <f aca="false">MAX(0,MIN(F242,I242)-MAX(E242,H242))</f>
        <v>0.25</v>
      </c>
      <c r="K242" s="129" t="n">
        <f aca="false">G242*J242*'Fleet Build'!$K$58/1000000</f>
        <v>0.192640527249987</v>
      </c>
    </row>
    <row r="243" customFormat="false" ht="15" hidden="false" customHeight="false" outlineLevel="0" collapsed="false">
      <c r="B243" s="125" t="str">
        <f aca="false">'Fleet Build'!B24</f>
        <v>Pride of America</v>
      </c>
      <c r="C243" s="125" t="str">
        <f aca="false">'Fleet Build'!C24</f>
        <v>Norwegian</v>
      </c>
      <c r="D243" s="9" t="s">
        <v>200</v>
      </c>
      <c r="E243" s="111" t="n">
        <f aca="false">J$6</f>
        <v>2026.5</v>
      </c>
      <c r="F243" s="111" t="n">
        <f aca="false">E243+0.25</f>
        <v>2026.75</v>
      </c>
      <c r="G243" s="126" t="n">
        <f aca="false">'Fleet Build'!E24</f>
        <v>2162.58554001785</v>
      </c>
      <c r="H243" s="127" t="n">
        <f aca="false">'Fleet Build'!F24</f>
        <v>2000</v>
      </c>
      <c r="I243" s="127" t="n">
        <f aca="false">'Fleet Build'!G24</f>
        <v>2099</v>
      </c>
      <c r="J243" s="128" t="n">
        <f aca="false">MAX(0,MIN(F243,I243)-MAX(E243,H243))</f>
        <v>0.25</v>
      </c>
      <c r="K243" s="129" t="n">
        <f aca="false">G243*J243*'Fleet Build'!$K$58/1000000</f>
        <v>0.192640527249987</v>
      </c>
    </row>
    <row r="244" customFormat="false" ht="15" hidden="false" customHeight="false" outlineLevel="0" collapsed="false">
      <c r="B244" s="125" t="str">
        <f aca="false">'Fleet Build'!B24</f>
        <v>Pride of America</v>
      </c>
      <c r="C244" s="125" t="str">
        <f aca="false">'Fleet Build'!C24</f>
        <v>Norwegian</v>
      </c>
      <c r="D244" s="9" t="s">
        <v>201</v>
      </c>
      <c r="E244" s="111" t="n">
        <f aca="false">K$6</f>
        <v>2026.75</v>
      </c>
      <c r="F244" s="111" t="n">
        <f aca="false">E244+0.25</f>
        <v>2027</v>
      </c>
      <c r="G244" s="126" t="n">
        <f aca="false">'Fleet Build'!E24</f>
        <v>2162.58554001785</v>
      </c>
      <c r="H244" s="127" t="n">
        <f aca="false">'Fleet Build'!F24</f>
        <v>2000</v>
      </c>
      <c r="I244" s="127" t="n">
        <f aca="false">'Fleet Build'!G24</f>
        <v>2099</v>
      </c>
      <c r="J244" s="128" t="n">
        <f aca="false">MAX(0,MIN(F244,I244)-MAX(E244,H244))</f>
        <v>0.25</v>
      </c>
      <c r="K244" s="129" t="n">
        <f aca="false">G244*J244*'Fleet Build'!$K$58/1000000</f>
        <v>0.192640527249987</v>
      </c>
    </row>
    <row r="245" customFormat="false" ht="15" hidden="false" customHeight="false" outlineLevel="0" collapsed="false">
      <c r="B245" s="125" t="str">
        <f aca="false">'Fleet Build'!B24</f>
        <v>Pride of America</v>
      </c>
      <c r="C245" s="125" t="str">
        <f aca="false">'Fleet Build'!C24</f>
        <v>Norwegian</v>
      </c>
      <c r="D245" s="9" t="s">
        <v>202</v>
      </c>
      <c r="E245" s="111" t="n">
        <f aca="false">L$6</f>
        <v>2027</v>
      </c>
      <c r="F245" s="111" t="n">
        <f aca="false">E245+0.25</f>
        <v>2027.25</v>
      </c>
      <c r="G245" s="126" t="n">
        <f aca="false">'Fleet Build'!E24</f>
        <v>2162.58554001785</v>
      </c>
      <c r="H245" s="127" t="n">
        <f aca="false">'Fleet Build'!F24</f>
        <v>2000</v>
      </c>
      <c r="I245" s="127" t="n">
        <f aca="false">'Fleet Build'!G24</f>
        <v>2099</v>
      </c>
      <c r="J245" s="128" t="n">
        <f aca="false">MAX(0,MIN(F245,I245)-MAX(E245,H245))</f>
        <v>0.25</v>
      </c>
      <c r="K245" s="129" t="n">
        <f aca="false">G245*J245*'Fleet Build'!$K$58/1000000</f>
        <v>0.192640527249987</v>
      </c>
    </row>
    <row r="246" customFormat="false" ht="15" hidden="false" customHeight="false" outlineLevel="0" collapsed="false">
      <c r="B246" s="125" t="str">
        <f aca="false">'Fleet Build'!B24</f>
        <v>Pride of America</v>
      </c>
      <c r="C246" s="125" t="str">
        <f aca="false">'Fleet Build'!C24</f>
        <v>Norwegian</v>
      </c>
      <c r="D246" s="9" t="s">
        <v>203</v>
      </c>
      <c r="E246" s="111" t="n">
        <f aca="false">M$6</f>
        <v>2027.25</v>
      </c>
      <c r="F246" s="111" t="n">
        <f aca="false">E246+0.25</f>
        <v>2027.5</v>
      </c>
      <c r="G246" s="126" t="n">
        <f aca="false">'Fleet Build'!E24</f>
        <v>2162.58554001785</v>
      </c>
      <c r="H246" s="127" t="n">
        <f aca="false">'Fleet Build'!F24</f>
        <v>2000</v>
      </c>
      <c r="I246" s="127" t="n">
        <f aca="false">'Fleet Build'!G24</f>
        <v>2099</v>
      </c>
      <c r="J246" s="128" t="n">
        <f aca="false">MAX(0,MIN(F246,I246)-MAX(E246,H246))</f>
        <v>0.25</v>
      </c>
      <c r="K246" s="129" t="n">
        <f aca="false">G246*J246*'Fleet Build'!$K$58/1000000</f>
        <v>0.192640527249987</v>
      </c>
    </row>
    <row r="247" customFormat="false" ht="15" hidden="false" customHeight="false" outlineLevel="0" collapsed="false">
      <c r="B247" s="125" t="str">
        <f aca="false">'Fleet Build'!B24</f>
        <v>Pride of America</v>
      </c>
      <c r="C247" s="125" t="str">
        <f aca="false">'Fleet Build'!C24</f>
        <v>Norwegian</v>
      </c>
      <c r="D247" s="9" t="s">
        <v>204</v>
      </c>
      <c r="E247" s="111" t="n">
        <f aca="false">N$6</f>
        <v>2027.5</v>
      </c>
      <c r="F247" s="111" t="n">
        <f aca="false">E247+0.25</f>
        <v>2027.75</v>
      </c>
      <c r="G247" s="126" t="n">
        <f aca="false">'Fleet Build'!E24</f>
        <v>2162.58554001785</v>
      </c>
      <c r="H247" s="127" t="n">
        <f aca="false">'Fleet Build'!F24</f>
        <v>2000</v>
      </c>
      <c r="I247" s="127" t="n">
        <f aca="false">'Fleet Build'!G24</f>
        <v>2099</v>
      </c>
      <c r="J247" s="128" t="n">
        <f aca="false">MAX(0,MIN(F247,I247)-MAX(E247,H247))</f>
        <v>0.25</v>
      </c>
      <c r="K247" s="129" t="n">
        <f aca="false">G247*J247*'Fleet Build'!$K$58/1000000</f>
        <v>0.192640527249987</v>
      </c>
    </row>
    <row r="248" customFormat="false" ht="15" hidden="false" customHeight="false" outlineLevel="0" collapsed="false">
      <c r="B248" s="125" t="str">
        <f aca="false">'Fleet Build'!B24</f>
        <v>Pride of America</v>
      </c>
      <c r="C248" s="125" t="str">
        <f aca="false">'Fleet Build'!C24</f>
        <v>Norwegian</v>
      </c>
      <c r="D248" s="9" t="s">
        <v>205</v>
      </c>
      <c r="E248" s="111" t="n">
        <f aca="false">O$6</f>
        <v>2027.75</v>
      </c>
      <c r="F248" s="111" t="n">
        <f aca="false">E248+0.25</f>
        <v>2028</v>
      </c>
      <c r="G248" s="126" t="n">
        <f aca="false">'Fleet Build'!E24</f>
        <v>2162.58554001785</v>
      </c>
      <c r="H248" s="127" t="n">
        <f aca="false">'Fleet Build'!F24</f>
        <v>2000</v>
      </c>
      <c r="I248" s="127" t="n">
        <f aca="false">'Fleet Build'!G24</f>
        <v>2099</v>
      </c>
      <c r="J248" s="128" t="n">
        <f aca="false">MAX(0,MIN(F248,I248)-MAX(E248,H248))</f>
        <v>0.25</v>
      </c>
      <c r="K248" s="129" t="n">
        <f aca="false">G248*J248*'Fleet Build'!$K$58/1000000</f>
        <v>0.192640527249987</v>
      </c>
    </row>
    <row r="249" customFormat="false" ht="15" hidden="false" customHeight="false" outlineLevel="0" collapsed="false">
      <c r="B249" s="125" t="str">
        <f aca="false">'Fleet Build'!B25</f>
        <v>Norwegian Dawn</v>
      </c>
      <c r="C249" s="125" t="str">
        <f aca="false">'Fleet Build'!C25</f>
        <v>Norwegian</v>
      </c>
      <c r="D249" s="9" t="s">
        <v>617</v>
      </c>
      <c r="E249" s="111" t="n">
        <f aca="false">D$6</f>
        <v>2025</v>
      </c>
      <c r="F249" s="111" t="n">
        <f aca="false">E249+0.25</f>
        <v>2025.25</v>
      </c>
      <c r="G249" s="126" t="n">
        <f aca="false">'Fleet Build'!E25</f>
        <v>2314.93603094317</v>
      </c>
      <c r="H249" s="127" t="n">
        <f aca="false">'Fleet Build'!F25</f>
        <v>2000</v>
      </c>
      <c r="I249" s="127" t="n">
        <f aca="false">'Fleet Build'!G25</f>
        <v>2099</v>
      </c>
      <c r="J249" s="128" t="n">
        <f aca="false">MAX(0,MIN(F249,I249)-MAX(E249,H249))</f>
        <v>0.25</v>
      </c>
      <c r="K249" s="129" t="n">
        <f aca="false">G249*J249*'Fleet Build'!$K$58/1000000</f>
        <v>0.206211726333472</v>
      </c>
    </row>
    <row r="250" customFormat="false" ht="15" hidden="false" customHeight="false" outlineLevel="0" collapsed="false">
      <c r="B250" s="125" t="str">
        <f aca="false">'Fleet Build'!B25</f>
        <v>Norwegian Dawn</v>
      </c>
      <c r="C250" s="125" t="str">
        <f aca="false">'Fleet Build'!C25</f>
        <v>Norwegian</v>
      </c>
      <c r="D250" s="9" t="s">
        <v>618</v>
      </c>
      <c r="E250" s="111" t="n">
        <f aca="false">E$6</f>
        <v>2025.25</v>
      </c>
      <c r="F250" s="111" t="n">
        <f aca="false">E250+0.25</f>
        <v>2025.5</v>
      </c>
      <c r="G250" s="126" t="n">
        <f aca="false">'Fleet Build'!E25</f>
        <v>2314.93603094317</v>
      </c>
      <c r="H250" s="127" t="n">
        <f aca="false">'Fleet Build'!F25</f>
        <v>2000</v>
      </c>
      <c r="I250" s="127" t="n">
        <f aca="false">'Fleet Build'!G25</f>
        <v>2099</v>
      </c>
      <c r="J250" s="128" t="n">
        <f aca="false">MAX(0,MIN(F250,I250)-MAX(E250,H250))</f>
        <v>0.25</v>
      </c>
      <c r="K250" s="129" t="n">
        <f aca="false">G250*J250*'Fleet Build'!$K$58/1000000</f>
        <v>0.206211726333472</v>
      </c>
    </row>
    <row r="251" customFormat="false" ht="15" hidden="false" customHeight="false" outlineLevel="0" collapsed="false">
      <c r="B251" s="125" t="str">
        <f aca="false">'Fleet Build'!B25</f>
        <v>Norwegian Dawn</v>
      </c>
      <c r="C251" s="125" t="str">
        <f aca="false">'Fleet Build'!C25</f>
        <v>Norwegian</v>
      </c>
      <c r="D251" s="9" t="s">
        <v>619</v>
      </c>
      <c r="E251" s="111" t="n">
        <f aca="false">F$6</f>
        <v>2025.5</v>
      </c>
      <c r="F251" s="111" t="n">
        <f aca="false">E251+0.25</f>
        <v>2025.75</v>
      </c>
      <c r="G251" s="126" t="n">
        <f aca="false">'Fleet Build'!E25</f>
        <v>2314.93603094317</v>
      </c>
      <c r="H251" s="127" t="n">
        <f aca="false">'Fleet Build'!F25</f>
        <v>2000</v>
      </c>
      <c r="I251" s="127" t="n">
        <f aca="false">'Fleet Build'!G25</f>
        <v>2099</v>
      </c>
      <c r="J251" s="128" t="n">
        <f aca="false">MAX(0,MIN(F251,I251)-MAX(E251,H251))</f>
        <v>0.25</v>
      </c>
      <c r="K251" s="129" t="n">
        <f aca="false">G251*J251*'Fleet Build'!$K$58/1000000</f>
        <v>0.206211726333472</v>
      </c>
    </row>
    <row r="252" customFormat="false" ht="15" hidden="false" customHeight="false" outlineLevel="0" collapsed="false">
      <c r="B252" s="125" t="str">
        <f aca="false">'Fleet Build'!B25</f>
        <v>Norwegian Dawn</v>
      </c>
      <c r="C252" s="125" t="str">
        <f aca="false">'Fleet Build'!C25</f>
        <v>Norwegian</v>
      </c>
      <c r="D252" s="9" t="s">
        <v>620</v>
      </c>
      <c r="E252" s="111" t="n">
        <f aca="false">G$6</f>
        <v>2025.75</v>
      </c>
      <c r="F252" s="111" t="n">
        <f aca="false">E252+0.25</f>
        <v>2026</v>
      </c>
      <c r="G252" s="126" t="n">
        <f aca="false">'Fleet Build'!E25</f>
        <v>2314.93603094317</v>
      </c>
      <c r="H252" s="127" t="n">
        <f aca="false">'Fleet Build'!F25</f>
        <v>2000</v>
      </c>
      <c r="I252" s="127" t="n">
        <f aca="false">'Fleet Build'!G25</f>
        <v>2099</v>
      </c>
      <c r="J252" s="128" t="n">
        <f aca="false">MAX(0,MIN(F252,I252)-MAX(E252,H252))</f>
        <v>0.25</v>
      </c>
      <c r="K252" s="129" t="n">
        <f aca="false">G252*J252*'Fleet Build'!$K$58/1000000</f>
        <v>0.206211726333472</v>
      </c>
    </row>
    <row r="253" customFormat="false" ht="15" hidden="false" customHeight="false" outlineLevel="0" collapsed="false">
      <c r="B253" s="125" t="str">
        <f aca="false">'Fleet Build'!B25</f>
        <v>Norwegian Dawn</v>
      </c>
      <c r="C253" s="125" t="str">
        <f aca="false">'Fleet Build'!C25</f>
        <v>Norwegian</v>
      </c>
      <c r="D253" s="9" t="s">
        <v>621</v>
      </c>
      <c r="E253" s="111" t="n">
        <f aca="false">H$6</f>
        <v>2026</v>
      </c>
      <c r="F253" s="111" t="n">
        <f aca="false">E253+0.25</f>
        <v>2026.25</v>
      </c>
      <c r="G253" s="126" t="n">
        <f aca="false">'Fleet Build'!E25</f>
        <v>2314.93603094317</v>
      </c>
      <c r="H253" s="127" t="n">
        <f aca="false">'Fleet Build'!F25</f>
        <v>2000</v>
      </c>
      <c r="I253" s="127" t="n">
        <f aca="false">'Fleet Build'!G25</f>
        <v>2099</v>
      </c>
      <c r="J253" s="128" t="n">
        <f aca="false">MAX(0,MIN(F253,I253)-MAX(E253,H253))</f>
        <v>0.25</v>
      </c>
      <c r="K253" s="129" t="n">
        <f aca="false">G253*J253*'Fleet Build'!$K$58/1000000</f>
        <v>0.206211726333472</v>
      </c>
    </row>
    <row r="254" customFormat="false" ht="15" hidden="false" customHeight="false" outlineLevel="0" collapsed="false">
      <c r="B254" s="125" t="str">
        <f aca="false">'Fleet Build'!B25</f>
        <v>Norwegian Dawn</v>
      </c>
      <c r="C254" s="125" t="str">
        <f aca="false">'Fleet Build'!C25</f>
        <v>Norwegian</v>
      </c>
      <c r="D254" s="9" t="s">
        <v>622</v>
      </c>
      <c r="E254" s="111" t="n">
        <f aca="false">I$6</f>
        <v>2026.25</v>
      </c>
      <c r="F254" s="111" t="n">
        <f aca="false">E254+0.25</f>
        <v>2026.5</v>
      </c>
      <c r="G254" s="126" t="n">
        <f aca="false">'Fleet Build'!E25</f>
        <v>2314.93603094317</v>
      </c>
      <c r="H254" s="127" t="n">
        <f aca="false">'Fleet Build'!F25</f>
        <v>2000</v>
      </c>
      <c r="I254" s="127" t="n">
        <f aca="false">'Fleet Build'!G25</f>
        <v>2099</v>
      </c>
      <c r="J254" s="128" t="n">
        <f aca="false">MAX(0,MIN(F254,I254)-MAX(E254,H254))</f>
        <v>0.25</v>
      </c>
      <c r="K254" s="129" t="n">
        <f aca="false">G254*J254*'Fleet Build'!$K$58/1000000</f>
        <v>0.206211726333472</v>
      </c>
    </row>
    <row r="255" customFormat="false" ht="15" hidden="false" customHeight="false" outlineLevel="0" collapsed="false">
      <c r="B255" s="125" t="str">
        <f aca="false">'Fleet Build'!B25</f>
        <v>Norwegian Dawn</v>
      </c>
      <c r="C255" s="125" t="str">
        <f aca="false">'Fleet Build'!C25</f>
        <v>Norwegian</v>
      </c>
      <c r="D255" s="9" t="s">
        <v>200</v>
      </c>
      <c r="E255" s="111" t="n">
        <f aca="false">J$6</f>
        <v>2026.5</v>
      </c>
      <c r="F255" s="111" t="n">
        <f aca="false">E255+0.25</f>
        <v>2026.75</v>
      </c>
      <c r="G255" s="126" t="n">
        <f aca="false">'Fleet Build'!E25</f>
        <v>2314.93603094317</v>
      </c>
      <c r="H255" s="127" t="n">
        <f aca="false">'Fleet Build'!F25</f>
        <v>2000</v>
      </c>
      <c r="I255" s="127" t="n">
        <f aca="false">'Fleet Build'!G25</f>
        <v>2099</v>
      </c>
      <c r="J255" s="128" t="n">
        <f aca="false">MAX(0,MIN(F255,I255)-MAX(E255,H255))</f>
        <v>0.25</v>
      </c>
      <c r="K255" s="129" t="n">
        <f aca="false">G255*J255*'Fleet Build'!$K$58/1000000</f>
        <v>0.206211726333472</v>
      </c>
    </row>
    <row r="256" customFormat="false" ht="15" hidden="false" customHeight="false" outlineLevel="0" collapsed="false">
      <c r="B256" s="125" t="str">
        <f aca="false">'Fleet Build'!B25</f>
        <v>Norwegian Dawn</v>
      </c>
      <c r="C256" s="125" t="str">
        <f aca="false">'Fleet Build'!C25</f>
        <v>Norwegian</v>
      </c>
      <c r="D256" s="9" t="s">
        <v>201</v>
      </c>
      <c r="E256" s="111" t="n">
        <f aca="false">K$6</f>
        <v>2026.75</v>
      </c>
      <c r="F256" s="111" t="n">
        <f aca="false">E256+0.25</f>
        <v>2027</v>
      </c>
      <c r="G256" s="126" t="n">
        <f aca="false">'Fleet Build'!E25</f>
        <v>2314.93603094317</v>
      </c>
      <c r="H256" s="127" t="n">
        <f aca="false">'Fleet Build'!F25</f>
        <v>2000</v>
      </c>
      <c r="I256" s="127" t="n">
        <f aca="false">'Fleet Build'!G25</f>
        <v>2099</v>
      </c>
      <c r="J256" s="128" t="n">
        <f aca="false">MAX(0,MIN(F256,I256)-MAX(E256,H256))</f>
        <v>0.25</v>
      </c>
      <c r="K256" s="129" t="n">
        <f aca="false">G256*J256*'Fleet Build'!$K$58/1000000</f>
        <v>0.206211726333472</v>
      </c>
    </row>
    <row r="257" customFormat="false" ht="15" hidden="false" customHeight="false" outlineLevel="0" collapsed="false">
      <c r="B257" s="125" t="str">
        <f aca="false">'Fleet Build'!B25</f>
        <v>Norwegian Dawn</v>
      </c>
      <c r="C257" s="125" t="str">
        <f aca="false">'Fleet Build'!C25</f>
        <v>Norwegian</v>
      </c>
      <c r="D257" s="9" t="s">
        <v>202</v>
      </c>
      <c r="E257" s="111" t="n">
        <f aca="false">L$6</f>
        <v>2027</v>
      </c>
      <c r="F257" s="111" t="n">
        <f aca="false">E257+0.25</f>
        <v>2027.25</v>
      </c>
      <c r="G257" s="126" t="n">
        <f aca="false">'Fleet Build'!E25</f>
        <v>2314.93603094317</v>
      </c>
      <c r="H257" s="127" t="n">
        <f aca="false">'Fleet Build'!F25</f>
        <v>2000</v>
      </c>
      <c r="I257" s="127" t="n">
        <f aca="false">'Fleet Build'!G25</f>
        <v>2099</v>
      </c>
      <c r="J257" s="128" t="n">
        <f aca="false">MAX(0,MIN(F257,I257)-MAX(E257,H257))</f>
        <v>0.25</v>
      </c>
      <c r="K257" s="129" t="n">
        <f aca="false">G257*J257*'Fleet Build'!$K$58/1000000</f>
        <v>0.206211726333472</v>
      </c>
    </row>
    <row r="258" customFormat="false" ht="15" hidden="false" customHeight="false" outlineLevel="0" collapsed="false">
      <c r="B258" s="125" t="str">
        <f aca="false">'Fleet Build'!B25</f>
        <v>Norwegian Dawn</v>
      </c>
      <c r="C258" s="125" t="str">
        <f aca="false">'Fleet Build'!C25</f>
        <v>Norwegian</v>
      </c>
      <c r="D258" s="9" t="s">
        <v>203</v>
      </c>
      <c r="E258" s="111" t="n">
        <f aca="false">M$6</f>
        <v>2027.25</v>
      </c>
      <c r="F258" s="111" t="n">
        <f aca="false">E258+0.25</f>
        <v>2027.5</v>
      </c>
      <c r="G258" s="126" t="n">
        <f aca="false">'Fleet Build'!E25</f>
        <v>2314.93603094317</v>
      </c>
      <c r="H258" s="127" t="n">
        <f aca="false">'Fleet Build'!F25</f>
        <v>2000</v>
      </c>
      <c r="I258" s="127" t="n">
        <f aca="false">'Fleet Build'!G25</f>
        <v>2099</v>
      </c>
      <c r="J258" s="128" t="n">
        <f aca="false">MAX(0,MIN(F258,I258)-MAX(E258,H258))</f>
        <v>0.25</v>
      </c>
      <c r="K258" s="129" t="n">
        <f aca="false">G258*J258*'Fleet Build'!$K$58/1000000</f>
        <v>0.206211726333472</v>
      </c>
    </row>
    <row r="259" customFormat="false" ht="15" hidden="false" customHeight="false" outlineLevel="0" collapsed="false">
      <c r="B259" s="125" t="str">
        <f aca="false">'Fleet Build'!B25</f>
        <v>Norwegian Dawn</v>
      </c>
      <c r="C259" s="125" t="str">
        <f aca="false">'Fleet Build'!C25</f>
        <v>Norwegian</v>
      </c>
      <c r="D259" s="9" t="s">
        <v>204</v>
      </c>
      <c r="E259" s="111" t="n">
        <f aca="false">N$6</f>
        <v>2027.5</v>
      </c>
      <c r="F259" s="111" t="n">
        <f aca="false">E259+0.25</f>
        <v>2027.75</v>
      </c>
      <c r="G259" s="126" t="n">
        <f aca="false">'Fleet Build'!E25</f>
        <v>2314.93603094317</v>
      </c>
      <c r="H259" s="127" t="n">
        <f aca="false">'Fleet Build'!F25</f>
        <v>2000</v>
      </c>
      <c r="I259" s="127" t="n">
        <f aca="false">'Fleet Build'!G25</f>
        <v>2099</v>
      </c>
      <c r="J259" s="128" t="n">
        <f aca="false">MAX(0,MIN(F259,I259)-MAX(E259,H259))</f>
        <v>0.25</v>
      </c>
      <c r="K259" s="129" t="n">
        <f aca="false">G259*J259*'Fleet Build'!$K$58/1000000</f>
        <v>0.206211726333472</v>
      </c>
    </row>
    <row r="260" customFormat="false" ht="15" hidden="false" customHeight="false" outlineLevel="0" collapsed="false">
      <c r="B260" s="125" t="str">
        <f aca="false">'Fleet Build'!B25</f>
        <v>Norwegian Dawn</v>
      </c>
      <c r="C260" s="125" t="str">
        <f aca="false">'Fleet Build'!C25</f>
        <v>Norwegian</v>
      </c>
      <c r="D260" s="9" t="s">
        <v>205</v>
      </c>
      <c r="E260" s="111" t="n">
        <f aca="false">O$6</f>
        <v>2027.75</v>
      </c>
      <c r="F260" s="111" t="n">
        <f aca="false">E260+0.25</f>
        <v>2028</v>
      </c>
      <c r="G260" s="126" t="n">
        <f aca="false">'Fleet Build'!E25</f>
        <v>2314.93603094317</v>
      </c>
      <c r="H260" s="127" t="n">
        <f aca="false">'Fleet Build'!F25</f>
        <v>2000</v>
      </c>
      <c r="I260" s="127" t="n">
        <f aca="false">'Fleet Build'!G25</f>
        <v>2099</v>
      </c>
      <c r="J260" s="128" t="n">
        <f aca="false">MAX(0,MIN(F260,I260)-MAX(E260,H260))</f>
        <v>0.25</v>
      </c>
      <c r="K260" s="129" t="n">
        <f aca="false">G260*J260*'Fleet Build'!$K$58/1000000</f>
        <v>0.206211726333472</v>
      </c>
    </row>
    <row r="261" customFormat="false" ht="15" hidden="false" customHeight="false" outlineLevel="0" collapsed="false">
      <c r="B261" s="125" t="str">
        <f aca="false">'Fleet Build'!B26</f>
        <v>Norwegian Star</v>
      </c>
      <c r="C261" s="125" t="str">
        <f aca="false">'Fleet Build'!C26</f>
        <v>Norwegian</v>
      </c>
      <c r="D261" s="9" t="s">
        <v>617</v>
      </c>
      <c r="E261" s="111" t="n">
        <f aca="false">D$6</f>
        <v>2025</v>
      </c>
      <c r="F261" s="111" t="n">
        <f aca="false">E261+0.25</f>
        <v>2025.25</v>
      </c>
      <c r="G261" s="126" t="n">
        <f aca="false">'Fleet Build'!E26</f>
        <v>2322.85034216007</v>
      </c>
      <c r="H261" s="127" t="n">
        <f aca="false">'Fleet Build'!F26</f>
        <v>2000</v>
      </c>
      <c r="I261" s="127" t="n">
        <f aca="false">'Fleet Build'!G26</f>
        <v>2099</v>
      </c>
      <c r="J261" s="128" t="n">
        <f aca="false">MAX(0,MIN(F261,I261)-MAX(E261,H261))</f>
        <v>0.25</v>
      </c>
      <c r="K261" s="129" t="n">
        <f aca="false">G261*J261*'Fleet Build'!$K$58/1000000</f>
        <v>0.206916723688459</v>
      </c>
    </row>
    <row r="262" customFormat="false" ht="15" hidden="false" customHeight="false" outlineLevel="0" collapsed="false">
      <c r="B262" s="125" t="str">
        <f aca="false">'Fleet Build'!B26</f>
        <v>Norwegian Star</v>
      </c>
      <c r="C262" s="125" t="str">
        <f aca="false">'Fleet Build'!C26</f>
        <v>Norwegian</v>
      </c>
      <c r="D262" s="9" t="s">
        <v>618</v>
      </c>
      <c r="E262" s="111" t="n">
        <f aca="false">E$6</f>
        <v>2025.25</v>
      </c>
      <c r="F262" s="111" t="n">
        <f aca="false">E262+0.25</f>
        <v>2025.5</v>
      </c>
      <c r="G262" s="126" t="n">
        <f aca="false">'Fleet Build'!E26</f>
        <v>2322.85034216007</v>
      </c>
      <c r="H262" s="127" t="n">
        <f aca="false">'Fleet Build'!F26</f>
        <v>2000</v>
      </c>
      <c r="I262" s="127" t="n">
        <f aca="false">'Fleet Build'!G26</f>
        <v>2099</v>
      </c>
      <c r="J262" s="128" t="n">
        <f aca="false">MAX(0,MIN(F262,I262)-MAX(E262,H262))</f>
        <v>0.25</v>
      </c>
      <c r="K262" s="129" t="n">
        <f aca="false">G262*J262*'Fleet Build'!$K$58/1000000</f>
        <v>0.206916723688459</v>
      </c>
    </row>
    <row r="263" customFormat="false" ht="15" hidden="false" customHeight="false" outlineLevel="0" collapsed="false">
      <c r="B263" s="125" t="str">
        <f aca="false">'Fleet Build'!B26</f>
        <v>Norwegian Star</v>
      </c>
      <c r="C263" s="125" t="str">
        <f aca="false">'Fleet Build'!C26</f>
        <v>Norwegian</v>
      </c>
      <c r="D263" s="9" t="s">
        <v>619</v>
      </c>
      <c r="E263" s="111" t="n">
        <f aca="false">F$6</f>
        <v>2025.5</v>
      </c>
      <c r="F263" s="111" t="n">
        <f aca="false">E263+0.25</f>
        <v>2025.75</v>
      </c>
      <c r="G263" s="126" t="n">
        <f aca="false">'Fleet Build'!E26</f>
        <v>2322.85034216007</v>
      </c>
      <c r="H263" s="127" t="n">
        <f aca="false">'Fleet Build'!F26</f>
        <v>2000</v>
      </c>
      <c r="I263" s="127" t="n">
        <f aca="false">'Fleet Build'!G26</f>
        <v>2099</v>
      </c>
      <c r="J263" s="128" t="n">
        <f aca="false">MAX(0,MIN(F263,I263)-MAX(E263,H263))</f>
        <v>0.25</v>
      </c>
      <c r="K263" s="129" t="n">
        <f aca="false">G263*J263*'Fleet Build'!$K$58/1000000</f>
        <v>0.206916723688459</v>
      </c>
    </row>
    <row r="264" customFormat="false" ht="15" hidden="false" customHeight="false" outlineLevel="0" collapsed="false">
      <c r="B264" s="125" t="str">
        <f aca="false">'Fleet Build'!B26</f>
        <v>Norwegian Star</v>
      </c>
      <c r="C264" s="125" t="str">
        <f aca="false">'Fleet Build'!C26</f>
        <v>Norwegian</v>
      </c>
      <c r="D264" s="9" t="s">
        <v>620</v>
      </c>
      <c r="E264" s="111" t="n">
        <f aca="false">G$6</f>
        <v>2025.75</v>
      </c>
      <c r="F264" s="111" t="n">
        <f aca="false">E264+0.25</f>
        <v>2026</v>
      </c>
      <c r="G264" s="126" t="n">
        <f aca="false">'Fleet Build'!E26</f>
        <v>2322.85034216007</v>
      </c>
      <c r="H264" s="127" t="n">
        <f aca="false">'Fleet Build'!F26</f>
        <v>2000</v>
      </c>
      <c r="I264" s="127" t="n">
        <f aca="false">'Fleet Build'!G26</f>
        <v>2099</v>
      </c>
      <c r="J264" s="128" t="n">
        <f aca="false">MAX(0,MIN(F264,I264)-MAX(E264,H264))</f>
        <v>0.25</v>
      </c>
      <c r="K264" s="129" t="n">
        <f aca="false">G264*J264*'Fleet Build'!$K$58/1000000</f>
        <v>0.206916723688459</v>
      </c>
    </row>
    <row r="265" customFormat="false" ht="15" hidden="false" customHeight="false" outlineLevel="0" collapsed="false">
      <c r="B265" s="125" t="str">
        <f aca="false">'Fleet Build'!B26</f>
        <v>Norwegian Star</v>
      </c>
      <c r="C265" s="125" t="str">
        <f aca="false">'Fleet Build'!C26</f>
        <v>Norwegian</v>
      </c>
      <c r="D265" s="9" t="s">
        <v>621</v>
      </c>
      <c r="E265" s="111" t="n">
        <f aca="false">H$6</f>
        <v>2026</v>
      </c>
      <c r="F265" s="111" t="n">
        <f aca="false">E265+0.25</f>
        <v>2026.25</v>
      </c>
      <c r="G265" s="126" t="n">
        <f aca="false">'Fleet Build'!E26</f>
        <v>2322.85034216007</v>
      </c>
      <c r="H265" s="127" t="n">
        <f aca="false">'Fleet Build'!F26</f>
        <v>2000</v>
      </c>
      <c r="I265" s="127" t="n">
        <f aca="false">'Fleet Build'!G26</f>
        <v>2099</v>
      </c>
      <c r="J265" s="128" t="n">
        <f aca="false">MAX(0,MIN(F265,I265)-MAX(E265,H265))</f>
        <v>0.25</v>
      </c>
      <c r="K265" s="129" t="n">
        <f aca="false">G265*J265*'Fleet Build'!$K$58/1000000</f>
        <v>0.206916723688459</v>
      </c>
    </row>
    <row r="266" customFormat="false" ht="15" hidden="false" customHeight="false" outlineLevel="0" collapsed="false">
      <c r="B266" s="125" t="str">
        <f aca="false">'Fleet Build'!B26</f>
        <v>Norwegian Star</v>
      </c>
      <c r="C266" s="125" t="str">
        <f aca="false">'Fleet Build'!C26</f>
        <v>Norwegian</v>
      </c>
      <c r="D266" s="9" t="s">
        <v>622</v>
      </c>
      <c r="E266" s="111" t="n">
        <f aca="false">I$6</f>
        <v>2026.25</v>
      </c>
      <c r="F266" s="111" t="n">
        <f aca="false">E266+0.25</f>
        <v>2026.5</v>
      </c>
      <c r="G266" s="126" t="n">
        <f aca="false">'Fleet Build'!E26</f>
        <v>2322.85034216007</v>
      </c>
      <c r="H266" s="127" t="n">
        <f aca="false">'Fleet Build'!F26</f>
        <v>2000</v>
      </c>
      <c r="I266" s="127" t="n">
        <f aca="false">'Fleet Build'!G26</f>
        <v>2099</v>
      </c>
      <c r="J266" s="128" t="n">
        <f aca="false">MAX(0,MIN(F266,I266)-MAX(E266,H266))</f>
        <v>0.25</v>
      </c>
      <c r="K266" s="129" t="n">
        <f aca="false">G266*J266*'Fleet Build'!$K$58/1000000</f>
        <v>0.206916723688459</v>
      </c>
    </row>
    <row r="267" customFormat="false" ht="15" hidden="false" customHeight="false" outlineLevel="0" collapsed="false">
      <c r="B267" s="125" t="str">
        <f aca="false">'Fleet Build'!B26</f>
        <v>Norwegian Star</v>
      </c>
      <c r="C267" s="125" t="str">
        <f aca="false">'Fleet Build'!C26</f>
        <v>Norwegian</v>
      </c>
      <c r="D267" s="9" t="s">
        <v>200</v>
      </c>
      <c r="E267" s="111" t="n">
        <f aca="false">J$6</f>
        <v>2026.5</v>
      </c>
      <c r="F267" s="111" t="n">
        <f aca="false">E267+0.25</f>
        <v>2026.75</v>
      </c>
      <c r="G267" s="126" t="n">
        <f aca="false">'Fleet Build'!E26</f>
        <v>2322.85034216007</v>
      </c>
      <c r="H267" s="127" t="n">
        <f aca="false">'Fleet Build'!F26</f>
        <v>2000</v>
      </c>
      <c r="I267" s="127" t="n">
        <f aca="false">'Fleet Build'!G26</f>
        <v>2099</v>
      </c>
      <c r="J267" s="128" t="n">
        <f aca="false">MAX(0,MIN(F267,I267)-MAX(E267,H267))</f>
        <v>0.25</v>
      </c>
      <c r="K267" s="129" t="n">
        <f aca="false">G267*J267*'Fleet Build'!$K$58/1000000</f>
        <v>0.206916723688459</v>
      </c>
    </row>
    <row r="268" customFormat="false" ht="15" hidden="false" customHeight="false" outlineLevel="0" collapsed="false">
      <c r="B268" s="125" t="str">
        <f aca="false">'Fleet Build'!B26</f>
        <v>Norwegian Star</v>
      </c>
      <c r="C268" s="125" t="str">
        <f aca="false">'Fleet Build'!C26</f>
        <v>Norwegian</v>
      </c>
      <c r="D268" s="9" t="s">
        <v>201</v>
      </c>
      <c r="E268" s="111" t="n">
        <f aca="false">K$6</f>
        <v>2026.75</v>
      </c>
      <c r="F268" s="111" t="n">
        <f aca="false">E268+0.25</f>
        <v>2027</v>
      </c>
      <c r="G268" s="126" t="n">
        <f aca="false">'Fleet Build'!E26</f>
        <v>2322.85034216007</v>
      </c>
      <c r="H268" s="127" t="n">
        <f aca="false">'Fleet Build'!F26</f>
        <v>2000</v>
      </c>
      <c r="I268" s="127" t="n">
        <f aca="false">'Fleet Build'!G26</f>
        <v>2099</v>
      </c>
      <c r="J268" s="128" t="n">
        <f aca="false">MAX(0,MIN(F268,I268)-MAX(E268,H268))</f>
        <v>0.25</v>
      </c>
      <c r="K268" s="129" t="n">
        <f aca="false">G268*J268*'Fleet Build'!$K$58/1000000</f>
        <v>0.206916723688459</v>
      </c>
    </row>
    <row r="269" customFormat="false" ht="15" hidden="false" customHeight="false" outlineLevel="0" collapsed="false">
      <c r="B269" s="125" t="str">
        <f aca="false">'Fleet Build'!B26</f>
        <v>Norwegian Star</v>
      </c>
      <c r="C269" s="125" t="str">
        <f aca="false">'Fleet Build'!C26</f>
        <v>Norwegian</v>
      </c>
      <c r="D269" s="9" t="s">
        <v>202</v>
      </c>
      <c r="E269" s="111" t="n">
        <f aca="false">L$6</f>
        <v>2027</v>
      </c>
      <c r="F269" s="111" t="n">
        <f aca="false">E269+0.25</f>
        <v>2027.25</v>
      </c>
      <c r="G269" s="126" t="n">
        <f aca="false">'Fleet Build'!E26</f>
        <v>2322.85034216007</v>
      </c>
      <c r="H269" s="127" t="n">
        <f aca="false">'Fleet Build'!F26</f>
        <v>2000</v>
      </c>
      <c r="I269" s="127" t="n">
        <f aca="false">'Fleet Build'!G26</f>
        <v>2099</v>
      </c>
      <c r="J269" s="128" t="n">
        <f aca="false">MAX(0,MIN(F269,I269)-MAX(E269,H269))</f>
        <v>0.25</v>
      </c>
      <c r="K269" s="129" t="n">
        <f aca="false">G269*J269*'Fleet Build'!$K$58/1000000</f>
        <v>0.206916723688459</v>
      </c>
    </row>
    <row r="270" customFormat="false" ht="15" hidden="false" customHeight="false" outlineLevel="0" collapsed="false">
      <c r="B270" s="125" t="str">
        <f aca="false">'Fleet Build'!B26</f>
        <v>Norwegian Star</v>
      </c>
      <c r="C270" s="125" t="str">
        <f aca="false">'Fleet Build'!C26</f>
        <v>Norwegian</v>
      </c>
      <c r="D270" s="9" t="s">
        <v>203</v>
      </c>
      <c r="E270" s="111" t="n">
        <f aca="false">M$6</f>
        <v>2027.25</v>
      </c>
      <c r="F270" s="111" t="n">
        <f aca="false">E270+0.25</f>
        <v>2027.5</v>
      </c>
      <c r="G270" s="126" t="n">
        <f aca="false">'Fleet Build'!E26</f>
        <v>2322.85034216007</v>
      </c>
      <c r="H270" s="127" t="n">
        <f aca="false">'Fleet Build'!F26</f>
        <v>2000</v>
      </c>
      <c r="I270" s="127" t="n">
        <f aca="false">'Fleet Build'!G26</f>
        <v>2099</v>
      </c>
      <c r="J270" s="128" t="n">
        <f aca="false">MAX(0,MIN(F270,I270)-MAX(E270,H270))</f>
        <v>0.25</v>
      </c>
      <c r="K270" s="129" t="n">
        <f aca="false">G270*J270*'Fleet Build'!$K$58/1000000</f>
        <v>0.206916723688459</v>
      </c>
    </row>
    <row r="271" customFormat="false" ht="15" hidden="false" customHeight="false" outlineLevel="0" collapsed="false">
      <c r="B271" s="125" t="str">
        <f aca="false">'Fleet Build'!B26</f>
        <v>Norwegian Star</v>
      </c>
      <c r="C271" s="125" t="str">
        <f aca="false">'Fleet Build'!C26</f>
        <v>Norwegian</v>
      </c>
      <c r="D271" s="9" t="s">
        <v>204</v>
      </c>
      <c r="E271" s="111" t="n">
        <f aca="false">N$6</f>
        <v>2027.5</v>
      </c>
      <c r="F271" s="111" t="n">
        <f aca="false">E271+0.25</f>
        <v>2027.75</v>
      </c>
      <c r="G271" s="126" t="n">
        <f aca="false">'Fleet Build'!E26</f>
        <v>2322.85034216007</v>
      </c>
      <c r="H271" s="127" t="n">
        <f aca="false">'Fleet Build'!F26</f>
        <v>2000</v>
      </c>
      <c r="I271" s="127" t="n">
        <f aca="false">'Fleet Build'!G26</f>
        <v>2099</v>
      </c>
      <c r="J271" s="128" t="n">
        <f aca="false">MAX(0,MIN(F271,I271)-MAX(E271,H271))</f>
        <v>0.25</v>
      </c>
      <c r="K271" s="129" t="n">
        <f aca="false">G271*J271*'Fleet Build'!$K$58/1000000</f>
        <v>0.206916723688459</v>
      </c>
    </row>
    <row r="272" customFormat="false" ht="15" hidden="false" customHeight="false" outlineLevel="0" collapsed="false">
      <c r="B272" s="125" t="str">
        <f aca="false">'Fleet Build'!B26</f>
        <v>Norwegian Star</v>
      </c>
      <c r="C272" s="125" t="str">
        <f aca="false">'Fleet Build'!C26</f>
        <v>Norwegian</v>
      </c>
      <c r="D272" s="9" t="s">
        <v>205</v>
      </c>
      <c r="E272" s="111" t="n">
        <f aca="false">O$6</f>
        <v>2027.75</v>
      </c>
      <c r="F272" s="111" t="n">
        <f aca="false">E272+0.25</f>
        <v>2028</v>
      </c>
      <c r="G272" s="126" t="n">
        <f aca="false">'Fleet Build'!E26</f>
        <v>2322.85034216007</v>
      </c>
      <c r="H272" s="127" t="n">
        <f aca="false">'Fleet Build'!F26</f>
        <v>2000</v>
      </c>
      <c r="I272" s="127" t="n">
        <f aca="false">'Fleet Build'!G26</f>
        <v>2099</v>
      </c>
      <c r="J272" s="128" t="n">
        <f aca="false">MAX(0,MIN(F272,I272)-MAX(E272,H272))</f>
        <v>0.25</v>
      </c>
      <c r="K272" s="129" t="n">
        <f aca="false">G272*J272*'Fleet Build'!$K$58/1000000</f>
        <v>0.206916723688459</v>
      </c>
    </row>
    <row r="273" customFormat="false" ht="15" hidden="false" customHeight="false" outlineLevel="0" collapsed="false">
      <c r="B273" s="125" t="str">
        <f aca="false">'Fleet Build'!B27</f>
        <v>Norwegian Sun</v>
      </c>
      <c r="C273" s="125" t="str">
        <f aca="false">'Fleet Build'!C27</f>
        <v>Norwegian</v>
      </c>
      <c r="D273" s="9" t="s">
        <v>617</v>
      </c>
      <c r="E273" s="111" t="n">
        <f aca="false">D$6</f>
        <v>2025</v>
      </c>
      <c r="F273" s="111" t="n">
        <f aca="false">E273+0.25</f>
        <v>2025.25</v>
      </c>
      <c r="G273" s="126" t="n">
        <f aca="false">'Fleet Build'!E27</f>
        <v>1936</v>
      </c>
      <c r="H273" s="127" t="n">
        <f aca="false">'Fleet Build'!F27</f>
        <v>2000</v>
      </c>
      <c r="I273" s="127" t="n">
        <f aca="false">'Fleet Build'!G27</f>
        <v>2027.83</v>
      </c>
      <c r="J273" s="128" t="n">
        <f aca="false">MAX(0,MIN(F273,I273)-MAX(E273,H273))</f>
        <v>0.25</v>
      </c>
      <c r="K273" s="129" t="n">
        <f aca="false">G273*J273*'Fleet Build'!$K$58/1000000</f>
        <v>0.172456558991372</v>
      </c>
    </row>
    <row r="274" customFormat="false" ht="15" hidden="false" customHeight="false" outlineLevel="0" collapsed="false">
      <c r="B274" s="125" t="str">
        <f aca="false">'Fleet Build'!B27</f>
        <v>Norwegian Sun</v>
      </c>
      <c r="C274" s="125" t="str">
        <f aca="false">'Fleet Build'!C27</f>
        <v>Norwegian</v>
      </c>
      <c r="D274" s="9" t="s">
        <v>618</v>
      </c>
      <c r="E274" s="111" t="n">
        <f aca="false">E$6</f>
        <v>2025.25</v>
      </c>
      <c r="F274" s="111" t="n">
        <f aca="false">E274+0.25</f>
        <v>2025.5</v>
      </c>
      <c r="G274" s="126" t="n">
        <f aca="false">'Fleet Build'!E27</f>
        <v>1936</v>
      </c>
      <c r="H274" s="127" t="n">
        <f aca="false">'Fleet Build'!F27</f>
        <v>2000</v>
      </c>
      <c r="I274" s="127" t="n">
        <f aca="false">'Fleet Build'!G27</f>
        <v>2027.83</v>
      </c>
      <c r="J274" s="128" t="n">
        <f aca="false">MAX(0,MIN(F274,I274)-MAX(E274,H274))</f>
        <v>0.25</v>
      </c>
      <c r="K274" s="129" t="n">
        <f aca="false">G274*J274*'Fleet Build'!$K$58/1000000</f>
        <v>0.172456558991372</v>
      </c>
    </row>
    <row r="275" customFormat="false" ht="15" hidden="false" customHeight="false" outlineLevel="0" collapsed="false">
      <c r="B275" s="125" t="str">
        <f aca="false">'Fleet Build'!B27</f>
        <v>Norwegian Sun</v>
      </c>
      <c r="C275" s="125" t="str">
        <f aca="false">'Fleet Build'!C27</f>
        <v>Norwegian</v>
      </c>
      <c r="D275" s="9" t="s">
        <v>619</v>
      </c>
      <c r="E275" s="111" t="n">
        <f aca="false">F$6</f>
        <v>2025.5</v>
      </c>
      <c r="F275" s="111" t="n">
        <f aca="false">E275+0.25</f>
        <v>2025.75</v>
      </c>
      <c r="G275" s="126" t="n">
        <f aca="false">'Fleet Build'!E27</f>
        <v>1936</v>
      </c>
      <c r="H275" s="127" t="n">
        <f aca="false">'Fleet Build'!F27</f>
        <v>2000</v>
      </c>
      <c r="I275" s="127" t="n">
        <f aca="false">'Fleet Build'!G27</f>
        <v>2027.83</v>
      </c>
      <c r="J275" s="128" t="n">
        <f aca="false">MAX(0,MIN(F275,I275)-MAX(E275,H275))</f>
        <v>0.25</v>
      </c>
      <c r="K275" s="129" t="n">
        <f aca="false">G275*J275*'Fleet Build'!$K$58/1000000</f>
        <v>0.172456558991372</v>
      </c>
    </row>
    <row r="276" customFormat="false" ht="15" hidden="false" customHeight="false" outlineLevel="0" collapsed="false">
      <c r="B276" s="125" t="str">
        <f aca="false">'Fleet Build'!B27</f>
        <v>Norwegian Sun</v>
      </c>
      <c r="C276" s="125" t="str">
        <f aca="false">'Fleet Build'!C27</f>
        <v>Norwegian</v>
      </c>
      <c r="D276" s="9" t="s">
        <v>620</v>
      </c>
      <c r="E276" s="111" t="n">
        <f aca="false">G$6</f>
        <v>2025.75</v>
      </c>
      <c r="F276" s="111" t="n">
        <f aca="false">E276+0.25</f>
        <v>2026</v>
      </c>
      <c r="G276" s="126" t="n">
        <f aca="false">'Fleet Build'!E27</f>
        <v>1936</v>
      </c>
      <c r="H276" s="127" t="n">
        <f aca="false">'Fleet Build'!F27</f>
        <v>2000</v>
      </c>
      <c r="I276" s="127" t="n">
        <f aca="false">'Fleet Build'!G27</f>
        <v>2027.83</v>
      </c>
      <c r="J276" s="128" t="n">
        <f aca="false">MAX(0,MIN(F276,I276)-MAX(E276,H276))</f>
        <v>0.25</v>
      </c>
      <c r="K276" s="129" t="n">
        <f aca="false">G276*J276*'Fleet Build'!$K$58/1000000</f>
        <v>0.172456558991372</v>
      </c>
    </row>
    <row r="277" customFormat="false" ht="15" hidden="false" customHeight="false" outlineLevel="0" collapsed="false">
      <c r="B277" s="125" t="str">
        <f aca="false">'Fleet Build'!B27</f>
        <v>Norwegian Sun</v>
      </c>
      <c r="C277" s="125" t="str">
        <f aca="false">'Fleet Build'!C27</f>
        <v>Norwegian</v>
      </c>
      <c r="D277" s="9" t="s">
        <v>621</v>
      </c>
      <c r="E277" s="111" t="n">
        <f aca="false">H$6</f>
        <v>2026</v>
      </c>
      <c r="F277" s="111" t="n">
        <f aca="false">E277+0.25</f>
        <v>2026.25</v>
      </c>
      <c r="G277" s="126" t="n">
        <f aca="false">'Fleet Build'!E27</f>
        <v>1936</v>
      </c>
      <c r="H277" s="127" t="n">
        <f aca="false">'Fleet Build'!F27</f>
        <v>2000</v>
      </c>
      <c r="I277" s="127" t="n">
        <f aca="false">'Fleet Build'!G27</f>
        <v>2027.83</v>
      </c>
      <c r="J277" s="128" t="n">
        <f aca="false">MAX(0,MIN(F277,I277)-MAX(E277,H277))</f>
        <v>0.25</v>
      </c>
      <c r="K277" s="129" t="n">
        <f aca="false">G277*J277*'Fleet Build'!$K$58/1000000</f>
        <v>0.172456558991372</v>
      </c>
    </row>
    <row r="278" customFormat="false" ht="15" hidden="false" customHeight="false" outlineLevel="0" collapsed="false">
      <c r="B278" s="125" t="str">
        <f aca="false">'Fleet Build'!B27</f>
        <v>Norwegian Sun</v>
      </c>
      <c r="C278" s="125" t="str">
        <f aca="false">'Fleet Build'!C27</f>
        <v>Norwegian</v>
      </c>
      <c r="D278" s="9" t="s">
        <v>622</v>
      </c>
      <c r="E278" s="111" t="n">
        <f aca="false">I$6</f>
        <v>2026.25</v>
      </c>
      <c r="F278" s="111" t="n">
        <f aca="false">E278+0.25</f>
        <v>2026.5</v>
      </c>
      <c r="G278" s="126" t="n">
        <f aca="false">'Fleet Build'!E27</f>
        <v>1936</v>
      </c>
      <c r="H278" s="127" t="n">
        <f aca="false">'Fleet Build'!F27</f>
        <v>2000</v>
      </c>
      <c r="I278" s="127" t="n">
        <f aca="false">'Fleet Build'!G27</f>
        <v>2027.83</v>
      </c>
      <c r="J278" s="128" t="n">
        <f aca="false">MAX(0,MIN(F278,I278)-MAX(E278,H278))</f>
        <v>0.25</v>
      </c>
      <c r="K278" s="129" t="n">
        <f aca="false">G278*J278*'Fleet Build'!$K$58/1000000</f>
        <v>0.172456558991372</v>
      </c>
    </row>
    <row r="279" customFormat="false" ht="15" hidden="false" customHeight="false" outlineLevel="0" collapsed="false">
      <c r="B279" s="125" t="str">
        <f aca="false">'Fleet Build'!B27</f>
        <v>Norwegian Sun</v>
      </c>
      <c r="C279" s="125" t="str">
        <f aca="false">'Fleet Build'!C27</f>
        <v>Norwegian</v>
      </c>
      <c r="D279" s="9" t="s">
        <v>200</v>
      </c>
      <c r="E279" s="111" t="n">
        <f aca="false">J$6</f>
        <v>2026.5</v>
      </c>
      <c r="F279" s="111" t="n">
        <f aca="false">E279+0.25</f>
        <v>2026.75</v>
      </c>
      <c r="G279" s="126" t="n">
        <f aca="false">'Fleet Build'!E27</f>
        <v>1936</v>
      </c>
      <c r="H279" s="127" t="n">
        <f aca="false">'Fleet Build'!F27</f>
        <v>2000</v>
      </c>
      <c r="I279" s="127" t="n">
        <f aca="false">'Fleet Build'!G27</f>
        <v>2027.83</v>
      </c>
      <c r="J279" s="128" t="n">
        <f aca="false">MAX(0,MIN(F279,I279)-MAX(E279,H279))</f>
        <v>0.25</v>
      </c>
      <c r="K279" s="129" t="n">
        <f aca="false">G279*J279*'Fleet Build'!$K$58/1000000</f>
        <v>0.172456558991372</v>
      </c>
    </row>
    <row r="280" customFormat="false" ht="15" hidden="false" customHeight="false" outlineLevel="0" collapsed="false">
      <c r="B280" s="125" t="str">
        <f aca="false">'Fleet Build'!B27</f>
        <v>Norwegian Sun</v>
      </c>
      <c r="C280" s="125" t="str">
        <f aca="false">'Fleet Build'!C27</f>
        <v>Norwegian</v>
      </c>
      <c r="D280" s="9" t="s">
        <v>201</v>
      </c>
      <c r="E280" s="111" t="n">
        <f aca="false">K$6</f>
        <v>2026.75</v>
      </c>
      <c r="F280" s="111" t="n">
        <f aca="false">E280+0.25</f>
        <v>2027</v>
      </c>
      <c r="G280" s="126" t="n">
        <f aca="false">'Fleet Build'!E27</f>
        <v>1936</v>
      </c>
      <c r="H280" s="127" t="n">
        <f aca="false">'Fleet Build'!F27</f>
        <v>2000</v>
      </c>
      <c r="I280" s="127" t="n">
        <f aca="false">'Fleet Build'!G27</f>
        <v>2027.83</v>
      </c>
      <c r="J280" s="128" t="n">
        <f aca="false">MAX(0,MIN(F280,I280)-MAX(E280,H280))</f>
        <v>0.25</v>
      </c>
      <c r="K280" s="129" t="n">
        <f aca="false">G280*J280*'Fleet Build'!$K$58/1000000</f>
        <v>0.172456558991372</v>
      </c>
    </row>
    <row r="281" customFormat="false" ht="15" hidden="false" customHeight="false" outlineLevel="0" collapsed="false">
      <c r="B281" s="125" t="str">
        <f aca="false">'Fleet Build'!B27</f>
        <v>Norwegian Sun</v>
      </c>
      <c r="C281" s="125" t="str">
        <f aca="false">'Fleet Build'!C27</f>
        <v>Norwegian</v>
      </c>
      <c r="D281" s="9" t="s">
        <v>202</v>
      </c>
      <c r="E281" s="111" t="n">
        <f aca="false">L$6</f>
        <v>2027</v>
      </c>
      <c r="F281" s="111" t="n">
        <f aca="false">E281+0.25</f>
        <v>2027.25</v>
      </c>
      <c r="G281" s="126" t="n">
        <f aca="false">'Fleet Build'!E27</f>
        <v>1936</v>
      </c>
      <c r="H281" s="127" t="n">
        <f aca="false">'Fleet Build'!F27</f>
        <v>2000</v>
      </c>
      <c r="I281" s="127" t="n">
        <f aca="false">'Fleet Build'!G27</f>
        <v>2027.83</v>
      </c>
      <c r="J281" s="128" t="n">
        <f aca="false">MAX(0,MIN(F281,I281)-MAX(E281,H281))</f>
        <v>0.25</v>
      </c>
      <c r="K281" s="129" t="n">
        <f aca="false">G281*J281*'Fleet Build'!$K$58/1000000</f>
        <v>0.172456558991372</v>
      </c>
    </row>
    <row r="282" customFormat="false" ht="15" hidden="false" customHeight="false" outlineLevel="0" collapsed="false">
      <c r="B282" s="125" t="str">
        <f aca="false">'Fleet Build'!B27</f>
        <v>Norwegian Sun</v>
      </c>
      <c r="C282" s="125" t="str">
        <f aca="false">'Fleet Build'!C27</f>
        <v>Norwegian</v>
      </c>
      <c r="D282" s="9" t="s">
        <v>203</v>
      </c>
      <c r="E282" s="111" t="n">
        <f aca="false">M$6</f>
        <v>2027.25</v>
      </c>
      <c r="F282" s="111" t="n">
        <f aca="false">E282+0.25</f>
        <v>2027.5</v>
      </c>
      <c r="G282" s="126" t="n">
        <f aca="false">'Fleet Build'!E27</f>
        <v>1936</v>
      </c>
      <c r="H282" s="127" t="n">
        <f aca="false">'Fleet Build'!F27</f>
        <v>2000</v>
      </c>
      <c r="I282" s="127" t="n">
        <f aca="false">'Fleet Build'!G27</f>
        <v>2027.83</v>
      </c>
      <c r="J282" s="128" t="n">
        <f aca="false">MAX(0,MIN(F282,I282)-MAX(E282,H282))</f>
        <v>0.25</v>
      </c>
      <c r="K282" s="129" t="n">
        <f aca="false">G282*J282*'Fleet Build'!$K$58/1000000</f>
        <v>0.172456558991372</v>
      </c>
    </row>
    <row r="283" customFormat="false" ht="15" hidden="false" customHeight="false" outlineLevel="0" collapsed="false">
      <c r="B283" s="125" t="str">
        <f aca="false">'Fleet Build'!B27</f>
        <v>Norwegian Sun</v>
      </c>
      <c r="C283" s="125" t="str">
        <f aca="false">'Fleet Build'!C27</f>
        <v>Norwegian</v>
      </c>
      <c r="D283" s="9" t="s">
        <v>204</v>
      </c>
      <c r="E283" s="111" t="n">
        <f aca="false">N$6</f>
        <v>2027.5</v>
      </c>
      <c r="F283" s="111" t="n">
        <f aca="false">E283+0.25</f>
        <v>2027.75</v>
      </c>
      <c r="G283" s="126" t="n">
        <f aca="false">'Fleet Build'!E27</f>
        <v>1936</v>
      </c>
      <c r="H283" s="127" t="n">
        <f aca="false">'Fleet Build'!F27</f>
        <v>2000</v>
      </c>
      <c r="I283" s="127" t="n">
        <f aca="false">'Fleet Build'!G27</f>
        <v>2027.83</v>
      </c>
      <c r="J283" s="128" t="n">
        <f aca="false">MAX(0,MIN(F283,I283)-MAX(E283,H283))</f>
        <v>0.25</v>
      </c>
      <c r="K283" s="129" t="n">
        <f aca="false">G283*J283*'Fleet Build'!$K$58/1000000</f>
        <v>0.172456558991372</v>
      </c>
    </row>
    <row r="284" customFormat="false" ht="15" hidden="false" customHeight="false" outlineLevel="0" collapsed="false">
      <c r="B284" s="125" t="str">
        <f aca="false">'Fleet Build'!B27</f>
        <v>Norwegian Sun</v>
      </c>
      <c r="C284" s="125" t="str">
        <f aca="false">'Fleet Build'!C27</f>
        <v>Norwegian</v>
      </c>
      <c r="D284" s="9" t="s">
        <v>205</v>
      </c>
      <c r="E284" s="111" t="n">
        <f aca="false">O$6</f>
        <v>2027.75</v>
      </c>
      <c r="F284" s="111" t="n">
        <f aca="false">E284+0.25</f>
        <v>2028</v>
      </c>
      <c r="G284" s="126" t="n">
        <f aca="false">'Fleet Build'!E27</f>
        <v>1936</v>
      </c>
      <c r="H284" s="127" t="n">
        <f aca="false">'Fleet Build'!F27</f>
        <v>2000</v>
      </c>
      <c r="I284" s="127" t="n">
        <f aca="false">'Fleet Build'!G27</f>
        <v>2027.83</v>
      </c>
      <c r="J284" s="128" t="n">
        <f aca="false">MAX(0,MIN(F284,I284)-MAX(E284,H284))</f>
        <v>0.0799999999999272</v>
      </c>
      <c r="K284" s="129" t="n">
        <f aca="false">G284*J284*'Fleet Build'!$K$58/1000000</f>
        <v>0.0551860988771887</v>
      </c>
    </row>
    <row r="285" customFormat="false" ht="15" hidden="false" customHeight="false" outlineLevel="0" collapsed="false">
      <c r="B285" s="125" t="str">
        <f aca="false">'Fleet Build'!B28</f>
        <v>Norwegian Sky</v>
      </c>
      <c r="C285" s="125" t="str">
        <f aca="false">'Fleet Build'!C28</f>
        <v>Norwegian</v>
      </c>
      <c r="D285" s="9" t="s">
        <v>617</v>
      </c>
      <c r="E285" s="111" t="n">
        <f aca="false">D$6</f>
        <v>2025</v>
      </c>
      <c r="F285" s="111" t="n">
        <f aca="false">E285+0.25</f>
        <v>2025.25</v>
      </c>
      <c r="G285" s="126" t="n">
        <f aca="false">'Fleet Build'!E28</f>
        <v>2004</v>
      </c>
      <c r="H285" s="127" t="n">
        <f aca="false">'Fleet Build'!F28</f>
        <v>2000</v>
      </c>
      <c r="I285" s="127" t="n">
        <f aca="false">'Fleet Build'!G28</f>
        <v>2026.83</v>
      </c>
      <c r="J285" s="128" t="n">
        <f aca="false">MAX(0,MIN(F285,I285)-MAX(E285,H285))</f>
        <v>0.25</v>
      </c>
      <c r="K285" s="129" t="n">
        <f aca="false">G285*J285*'Fleet Build'!$K$58/1000000</f>
        <v>0.178513917468341</v>
      </c>
    </row>
    <row r="286" customFormat="false" ht="15" hidden="false" customHeight="false" outlineLevel="0" collapsed="false">
      <c r="B286" s="125" t="str">
        <f aca="false">'Fleet Build'!B28</f>
        <v>Norwegian Sky</v>
      </c>
      <c r="C286" s="125" t="str">
        <f aca="false">'Fleet Build'!C28</f>
        <v>Norwegian</v>
      </c>
      <c r="D286" s="9" t="s">
        <v>618</v>
      </c>
      <c r="E286" s="111" t="n">
        <f aca="false">E$6</f>
        <v>2025.25</v>
      </c>
      <c r="F286" s="111" t="n">
        <f aca="false">E286+0.25</f>
        <v>2025.5</v>
      </c>
      <c r="G286" s="126" t="n">
        <f aca="false">'Fleet Build'!E28</f>
        <v>2004</v>
      </c>
      <c r="H286" s="127" t="n">
        <f aca="false">'Fleet Build'!F28</f>
        <v>2000</v>
      </c>
      <c r="I286" s="127" t="n">
        <f aca="false">'Fleet Build'!G28</f>
        <v>2026.83</v>
      </c>
      <c r="J286" s="128" t="n">
        <f aca="false">MAX(0,MIN(F286,I286)-MAX(E286,H286))</f>
        <v>0.25</v>
      </c>
      <c r="K286" s="129" t="n">
        <f aca="false">G286*J286*'Fleet Build'!$K$58/1000000</f>
        <v>0.178513917468341</v>
      </c>
    </row>
    <row r="287" customFormat="false" ht="15" hidden="false" customHeight="false" outlineLevel="0" collapsed="false">
      <c r="B287" s="125" t="str">
        <f aca="false">'Fleet Build'!B28</f>
        <v>Norwegian Sky</v>
      </c>
      <c r="C287" s="125" t="str">
        <f aca="false">'Fleet Build'!C28</f>
        <v>Norwegian</v>
      </c>
      <c r="D287" s="9" t="s">
        <v>619</v>
      </c>
      <c r="E287" s="111" t="n">
        <f aca="false">F$6</f>
        <v>2025.5</v>
      </c>
      <c r="F287" s="111" t="n">
        <f aca="false">E287+0.25</f>
        <v>2025.75</v>
      </c>
      <c r="G287" s="126" t="n">
        <f aca="false">'Fleet Build'!E28</f>
        <v>2004</v>
      </c>
      <c r="H287" s="127" t="n">
        <f aca="false">'Fleet Build'!F28</f>
        <v>2000</v>
      </c>
      <c r="I287" s="127" t="n">
        <f aca="false">'Fleet Build'!G28</f>
        <v>2026.83</v>
      </c>
      <c r="J287" s="128" t="n">
        <f aca="false">MAX(0,MIN(F287,I287)-MAX(E287,H287))</f>
        <v>0.25</v>
      </c>
      <c r="K287" s="129" t="n">
        <f aca="false">G287*J287*'Fleet Build'!$K$58/1000000</f>
        <v>0.178513917468341</v>
      </c>
    </row>
    <row r="288" customFormat="false" ht="15" hidden="false" customHeight="false" outlineLevel="0" collapsed="false">
      <c r="B288" s="125" t="str">
        <f aca="false">'Fleet Build'!B28</f>
        <v>Norwegian Sky</v>
      </c>
      <c r="C288" s="125" t="str">
        <f aca="false">'Fleet Build'!C28</f>
        <v>Norwegian</v>
      </c>
      <c r="D288" s="9" t="s">
        <v>620</v>
      </c>
      <c r="E288" s="111" t="n">
        <f aca="false">G$6</f>
        <v>2025.75</v>
      </c>
      <c r="F288" s="111" t="n">
        <f aca="false">E288+0.25</f>
        <v>2026</v>
      </c>
      <c r="G288" s="126" t="n">
        <f aca="false">'Fleet Build'!E28</f>
        <v>2004</v>
      </c>
      <c r="H288" s="127" t="n">
        <f aca="false">'Fleet Build'!F28</f>
        <v>2000</v>
      </c>
      <c r="I288" s="127" t="n">
        <f aca="false">'Fleet Build'!G28</f>
        <v>2026.83</v>
      </c>
      <c r="J288" s="128" t="n">
        <f aca="false">MAX(0,MIN(F288,I288)-MAX(E288,H288))</f>
        <v>0.25</v>
      </c>
      <c r="K288" s="129" t="n">
        <f aca="false">G288*J288*'Fleet Build'!$K$58/1000000</f>
        <v>0.178513917468341</v>
      </c>
    </row>
    <row r="289" customFormat="false" ht="15" hidden="false" customHeight="false" outlineLevel="0" collapsed="false">
      <c r="B289" s="125" t="str">
        <f aca="false">'Fleet Build'!B28</f>
        <v>Norwegian Sky</v>
      </c>
      <c r="C289" s="125" t="str">
        <f aca="false">'Fleet Build'!C28</f>
        <v>Norwegian</v>
      </c>
      <c r="D289" s="9" t="s">
        <v>621</v>
      </c>
      <c r="E289" s="111" t="n">
        <f aca="false">H$6</f>
        <v>2026</v>
      </c>
      <c r="F289" s="111" t="n">
        <f aca="false">E289+0.25</f>
        <v>2026.25</v>
      </c>
      <c r="G289" s="126" t="n">
        <f aca="false">'Fleet Build'!E28</f>
        <v>2004</v>
      </c>
      <c r="H289" s="127" t="n">
        <f aca="false">'Fleet Build'!F28</f>
        <v>2000</v>
      </c>
      <c r="I289" s="127" t="n">
        <f aca="false">'Fleet Build'!G28</f>
        <v>2026.83</v>
      </c>
      <c r="J289" s="128" t="n">
        <f aca="false">MAX(0,MIN(F289,I289)-MAX(E289,H289))</f>
        <v>0.25</v>
      </c>
      <c r="K289" s="129" t="n">
        <f aca="false">G289*J289*'Fleet Build'!$K$58/1000000</f>
        <v>0.178513917468341</v>
      </c>
    </row>
    <row r="290" customFormat="false" ht="15" hidden="false" customHeight="false" outlineLevel="0" collapsed="false">
      <c r="B290" s="125" t="str">
        <f aca="false">'Fleet Build'!B28</f>
        <v>Norwegian Sky</v>
      </c>
      <c r="C290" s="125" t="str">
        <f aca="false">'Fleet Build'!C28</f>
        <v>Norwegian</v>
      </c>
      <c r="D290" s="9" t="s">
        <v>622</v>
      </c>
      <c r="E290" s="111" t="n">
        <f aca="false">I$6</f>
        <v>2026.25</v>
      </c>
      <c r="F290" s="111" t="n">
        <f aca="false">E290+0.25</f>
        <v>2026.5</v>
      </c>
      <c r="G290" s="126" t="n">
        <f aca="false">'Fleet Build'!E28</f>
        <v>2004</v>
      </c>
      <c r="H290" s="127" t="n">
        <f aca="false">'Fleet Build'!F28</f>
        <v>2000</v>
      </c>
      <c r="I290" s="127" t="n">
        <f aca="false">'Fleet Build'!G28</f>
        <v>2026.83</v>
      </c>
      <c r="J290" s="128" t="n">
        <f aca="false">MAX(0,MIN(F290,I290)-MAX(E290,H290))</f>
        <v>0.25</v>
      </c>
      <c r="K290" s="129" t="n">
        <f aca="false">G290*J290*'Fleet Build'!$K$58/1000000</f>
        <v>0.178513917468341</v>
      </c>
    </row>
    <row r="291" customFormat="false" ht="15" hidden="false" customHeight="false" outlineLevel="0" collapsed="false">
      <c r="B291" s="125" t="str">
        <f aca="false">'Fleet Build'!B28</f>
        <v>Norwegian Sky</v>
      </c>
      <c r="C291" s="125" t="str">
        <f aca="false">'Fleet Build'!C28</f>
        <v>Norwegian</v>
      </c>
      <c r="D291" s="9" t="s">
        <v>200</v>
      </c>
      <c r="E291" s="111" t="n">
        <f aca="false">J$6</f>
        <v>2026.5</v>
      </c>
      <c r="F291" s="111" t="n">
        <f aca="false">E291+0.25</f>
        <v>2026.75</v>
      </c>
      <c r="G291" s="126" t="n">
        <f aca="false">'Fleet Build'!E28</f>
        <v>2004</v>
      </c>
      <c r="H291" s="127" t="n">
        <f aca="false">'Fleet Build'!F28</f>
        <v>2000</v>
      </c>
      <c r="I291" s="127" t="n">
        <f aca="false">'Fleet Build'!G28</f>
        <v>2026.83</v>
      </c>
      <c r="J291" s="128" t="n">
        <f aca="false">MAX(0,MIN(F291,I291)-MAX(E291,H291))</f>
        <v>0.25</v>
      </c>
      <c r="K291" s="129" t="n">
        <f aca="false">G291*J291*'Fleet Build'!$K$58/1000000</f>
        <v>0.178513917468341</v>
      </c>
    </row>
    <row r="292" customFormat="false" ht="15" hidden="false" customHeight="false" outlineLevel="0" collapsed="false">
      <c r="B292" s="125" t="str">
        <f aca="false">'Fleet Build'!B28</f>
        <v>Norwegian Sky</v>
      </c>
      <c r="C292" s="125" t="str">
        <f aca="false">'Fleet Build'!C28</f>
        <v>Norwegian</v>
      </c>
      <c r="D292" s="9" t="s">
        <v>201</v>
      </c>
      <c r="E292" s="111" t="n">
        <f aca="false">K$6</f>
        <v>2026.75</v>
      </c>
      <c r="F292" s="111" t="n">
        <f aca="false">E292+0.25</f>
        <v>2027</v>
      </c>
      <c r="G292" s="126" t="n">
        <f aca="false">'Fleet Build'!E28</f>
        <v>2004</v>
      </c>
      <c r="H292" s="127" t="n">
        <f aca="false">'Fleet Build'!F28</f>
        <v>2000</v>
      </c>
      <c r="I292" s="127" t="n">
        <f aca="false">'Fleet Build'!G28</f>
        <v>2026.83</v>
      </c>
      <c r="J292" s="128" t="n">
        <f aca="false">MAX(0,MIN(F292,I292)-MAX(E292,H292))</f>
        <v>0.0799999999999272</v>
      </c>
      <c r="K292" s="129" t="n">
        <f aca="false">G292*J292*'Fleet Build'!$K$58/1000000</f>
        <v>0.0571244535898172</v>
      </c>
    </row>
    <row r="293" customFormat="false" ht="15" hidden="false" customHeight="false" outlineLevel="0" collapsed="false">
      <c r="B293" s="125" t="str">
        <f aca="false">'Fleet Build'!B28</f>
        <v>Norwegian Sky</v>
      </c>
      <c r="C293" s="125" t="str">
        <f aca="false">'Fleet Build'!C28</f>
        <v>Norwegian</v>
      </c>
      <c r="D293" s="9" t="s">
        <v>202</v>
      </c>
      <c r="E293" s="111" t="n">
        <f aca="false">L$6</f>
        <v>2027</v>
      </c>
      <c r="F293" s="111" t="n">
        <f aca="false">E293+0.25</f>
        <v>2027.25</v>
      </c>
      <c r="G293" s="126" t="n">
        <f aca="false">'Fleet Build'!E28</f>
        <v>2004</v>
      </c>
      <c r="H293" s="127" t="n">
        <f aca="false">'Fleet Build'!F28</f>
        <v>2000</v>
      </c>
      <c r="I293" s="127" t="n">
        <f aca="false">'Fleet Build'!G28</f>
        <v>2026.83</v>
      </c>
      <c r="J293" s="128" t="n">
        <f aca="false">MAX(0,MIN(F293,I293)-MAX(E293,H293))</f>
        <v>0</v>
      </c>
      <c r="K293" s="129" t="n">
        <f aca="false">G293*J293*'Fleet Build'!$K$58/1000000</f>
        <v>0</v>
      </c>
    </row>
    <row r="294" customFormat="false" ht="15" hidden="false" customHeight="false" outlineLevel="0" collapsed="false">
      <c r="B294" s="125" t="str">
        <f aca="false">'Fleet Build'!B28</f>
        <v>Norwegian Sky</v>
      </c>
      <c r="C294" s="125" t="str">
        <f aca="false">'Fleet Build'!C28</f>
        <v>Norwegian</v>
      </c>
      <c r="D294" s="9" t="s">
        <v>203</v>
      </c>
      <c r="E294" s="111" t="n">
        <f aca="false">M$6</f>
        <v>2027.25</v>
      </c>
      <c r="F294" s="111" t="n">
        <f aca="false">E294+0.25</f>
        <v>2027.5</v>
      </c>
      <c r="G294" s="126" t="n">
        <f aca="false">'Fleet Build'!E28</f>
        <v>2004</v>
      </c>
      <c r="H294" s="127" t="n">
        <f aca="false">'Fleet Build'!F28</f>
        <v>2000</v>
      </c>
      <c r="I294" s="127" t="n">
        <f aca="false">'Fleet Build'!G28</f>
        <v>2026.83</v>
      </c>
      <c r="J294" s="128" t="n">
        <f aca="false">MAX(0,MIN(F294,I294)-MAX(E294,H294))</f>
        <v>0</v>
      </c>
      <c r="K294" s="129" t="n">
        <f aca="false">G294*J294*'Fleet Build'!$K$58/1000000</f>
        <v>0</v>
      </c>
    </row>
    <row r="295" customFormat="false" ht="15" hidden="false" customHeight="false" outlineLevel="0" collapsed="false">
      <c r="B295" s="125" t="str">
        <f aca="false">'Fleet Build'!B28</f>
        <v>Norwegian Sky</v>
      </c>
      <c r="C295" s="125" t="str">
        <f aca="false">'Fleet Build'!C28</f>
        <v>Norwegian</v>
      </c>
      <c r="D295" s="9" t="s">
        <v>204</v>
      </c>
      <c r="E295" s="111" t="n">
        <f aca="false">N$6</f>
        <v>2027.5</v>
      </c>
      <c r="F295" s="111" t="n">
        <f aca="false">E295+0.25</f>
        <v>2027.75</v>
      </c>
      <c r="G295" s="126" t="n">
        <f aca="false">'Fleet Build'!E28</f>
        <v>2004</v>
      </c>
      <c r="H295" s="127" t="n">
        <f aca="false">'Fleet Build'!F28</f>
        <v>2000</v>
      </c>
      <c r="I295" s="127" t="n">
        <f aca="false">'Fleet Build'!G28</f>
        <v>2026.83</v>
      </c>
      <c r="J295" s="128" t="n">
        <f aca="false">MAX(0,MIN(F295,I295)-MAX(E295,H295))</f>
        <v>0</v>
      </c>
      <c r="K295" s="129" t="n">
        <f aca="false">G295*J295*'Fleet Build'!$K$58/1000000</f>
        <v>0</v>
      </c>
    </row>
    <row r="296" customFormat="false" ht="15" hidden="false" customHeight="false" outlineLevel="0" collapsed="false">
      <c r="B296" s="125" t="str">
        <f aca="false">'Fleet Build'!B28</f>
        <v>Norwegian Sky</v>
      </c>
      <c r="C296" s="125" t="str">
        <f aca="false">'Fleet Build'!C28</f>
        <v>Norwegian</v>
      </c>
      <c r="D296" s="9" t="s">
        <v>205</v>
      </c>
      <c r="E296" s="111" t="n">
        <f aca="false">O$6</f>
        <v>2027.75</v>
      </c>
      <c r="F296" s="111" t="n">
        <f aca="false">E296+0.25</f>
        <v>2028</v>
      </c>
      <c r="G296" s="126" t="n">
        <f aca="false">'Fleet Build'!E28</f>
        <v>2004</v>
      </c>
      <c r="H296" s="127" t="n">
        <f aca="false">'Fleet Build'!F28</f>
        <v>2000</v>
      </c>
      <c r="I296" s="127" t="n">
        <f aca="false">'Fleet Build'!G28</f>
        <v>2026.83</v>
      </c>
      <c r="J296" s="128" t="n">
        <f aca="false">MAX(0,MIN(F296,I296)-MAX(E296,H296))</f>
        <v>0</v>
      </c>
      <c r="K296" s="129" t="n">
        <f aca="false">G296*J296*'Fleet Build'!$K$58/1000000</f>
        <v>0</v>
      </c>
    </row>
    <row r="297" customFormat="false" ht="15" hidden="false" customHeight="false" outlineLevel="0" collapsed="false">
      <c r="B297" s="125" t="str">
        <f aca="false">'Fleet Build'!B29</f>
        <v>Norwegian Spirit</v>
      </c>
      <c r="C297" s="125" t="str">
        <f aca="false">'Fleet Build'!C29</f>
        <v>Norwegian</v>
      </c>
      <c r="D297" s="9" t="s">
        <v>617</v>
      </c>
      <c r="E297" s="111" t="n">
        <f aca="false">D$6</f>
        <v>2025</v>
      </c>
      <c r="F297" s="111" t="n">
        <f aca="false">E297+0.25</f>
        <v>2025.25</v>
      </c>
      <c r="G297" s="126" t="n">
        <f aca="false">'Fleet Build'!E29</f>
        <v>1950.87771496578</v>
      </c>
      <c r="H297" s="127" t="n">
        <f aca="false">'Fleet Build'!F29</f>
        <v>2000</v>
      </c>
      <c r="I297" s="127" t="n">
        <f aca="false">'Fleet Build'!G29</f>
        <v>2099</v>
      </c>
      <c r="J297" s="128" t="n">
        <f aca="false">MAX(0,MIN(F297,I297)-MAX(E297,H297))</f>
        <v>0.25</v>
      </c>
      <c r="K297" s="129" t="n">
        <f aca="false">G297*J297*'Fleet Build'!$K$58/1000000</f>
        <v>0.173781848004106</v>
      </c>
    </row>
    <row r="298" customFormat="false" ht="15" hidden="false" customHeight="false" outlineLevel="0" collapsed="false">
      <c r="B298" s="125" t="str">
        <f aca="false">'Fleet Build'!B29</f>
        <v>Norwegian Spirit</v>
      </c>
      <c r="C298" s="125" t="str">
        <f aca="false">'Fleet Build'!C29</f>
        <v>Norwegian</v>
      </c>
      <c r="D298" s="9" t="s">
        <v>618</v>
      </c>
      <c r="E298" s="111" t="n">
        <f aca="false">E$6</f>
        <v>2025.25</v>
      </c>
      <c r="F298" s="111" t="n">
        <f aca="false">E298+0.25</f>
        <v>2025.5</v>
      </c>
      <c r="G298" s="126" t="n">
        <f aca="false">'Fleet Build'!E29</f>
        <v>1950.87771496578</v>
      </c>
      <c r="H298" s="127" t="n">
        <f aca="false">'Fleet Build'!F29</f>
        <v>2000</v>
      </c>
      <c r="I298" s="127" t="n">
        <f aca="false">'Fleet Build'!G29</f>
        <v>2099</v>
      </c>
      <c r="J298" s="128" t="n">
        <f aca="false">MAX(0,MIN(F298,I298)-MAX(E298,H298))</f>
        <v>0.25</v>
      </c>
      <c r="K298" s="129" t="n">
        <f aca="false">G298*J298*'Fleet Build'!$K$58/1000000</f>
        <v>0.173781848004106</v>
      </c>
    </row>
    <row r="299" customFormat="false" ht="15" hidden="false" customHeight="false" outlineLevel="0" collapsed="false">
      <c r="B299" s="125" t="str">
        <f aca="false">'Fleet Build'!B29</f>
        <v>Norwegian Spirit</v>
      </c>
      <c r="C299" s="125" t="str">
        <f aca="false">'Fleet Build'!C29</f>
        <v>Norwegian</v>
      </c>
      <c r="D299" s="9" t="s">
        <v>619</v>
      </c>
      <c r="E299" s="111" t="n">
        <f aca="false">F$6</f>
        <v>2025.5</v>
      </c>
      <c r="F299" s="111" t="n">
        <f aca="false">E299+0.25</f>
        <v>2025.75</v>
      </c>
      <c r="G299" s="126" t="n">
        <f aca="false">'Fleet Build'!E29</f>
        <v>1950.87771496578</v>
      </c>
      <c r="H299" s="127" t="n">
        <f aca="false">'Fleet Build'!F29</f>
        <v>2000</v>
      </c>
      <c r="I299" s="127" t="n">
        <f aca="false">'Fleet Build'!G29</f>
        <v>2099</v>
      </c>
      <c r="J299" s="128" t="n">
        <f aca="false">MAX(0,MIN(F299,I299)-MAX(E299,H299))</f>
        <v>0.25</v>
      </c>
      <c r="K299" s="129" t="n">
        <f aca="false">G299*J299*'Fleet Build'!$K$58/1000000</f>
        <v>0.173781848004106</v>
      </c>
    </row>
    <row r="300" customFormat="false" ht="15" hidden="false" customHeight="false" outlineLevel="0" collapsed="false">
      <c r="B300" s="125" t="str">
        <f aca="false">'Fleet Build'!B29</f>
        <v>Norwegian Spirit</v>
      </c>
      <c r="C300" s="125" t="str">
        <f aca="false">'Fleet Build'!C29</f>
        <v>Norwegian</v>
      </c>
      <c r="D300" s="9" t="s">
        <v>620</v>
      </c>
      <c r="E300" s="111" t="n">
        <f aca="false">G$6</f>
        <v>2025.75</v>
      </c>
      <c r="F300" s="111" t="n">
        <f aca="false">E300+0.25</f>
        <v>2026</v>
      </c>
      <c r="G300" s="126" t="n">
        <f aca="false">'Fleet Build'!E29</f>
        <v>1950.87771496578</v>
      </c>
      <c r="H300" s="127" t="n">
        <f aca="false">'Fleet Build'!F29</f>
        <v>2000</v>
      </c>
      <c r="I300" s="127" t="n">
        <f aca="false">'Fleet Build'!G29</f>
        <v>2099</v>
      </c>
      <c r="J300" s="128" t="n">
        <f aca="false">MAX(0,MIN(F300,I300)-MAX(E300,H300))</f>
        <v>0.25</v>
      </c>
      <c r="K300" s="129" t="n">
        <f aca="false">G300*J300*'Fleet Build'!$K$58/1000000</f>
        <v>0.173781848004106</v>
      </c>
    </row>
    <row r="301" customFormat="false" ht="15" hidden="false" customHeight="false" outlineLevel="0" collapsed="false">
      <c r="B301" s="125" t="str">
        <f aca="false">'Fleet Build'!B29</f>
        <v>Norwegian Spirit</v>
      </c>
      <c r="C301" s="125" t="str">
        <f aca="false">'Fleet Build'!C29</f>
        <v>Norwegian</v>
      </c>
      <c r="D301" s="9" t="s">
        <v>621</v>
      </c>
      <c r="E301" s="111" t="n">
        <f aca="false">H$6</f>
        <v>2026</v>
      </c>
      <c r="F301" s="111" t="n">
        <f aca="false">E301+0.25</f>
        <v>2026.25</v>
      </c>
      <c r="G301" s="126" t="n">
        <f aca="false">'Fleet Build'!E29</f>
        <v>1950.87771496578</v>
      </c>
      <c r="H301" s="127" t="n">
        <f aca="false">'Fleet Build'!F29</f>
        <v>2000</v>
      </c>
      <c r="I301" s="127" t="n">
        <f aca="false">'Fleet Build'!G29</f>
        <v>2099</v>
      </c>
      <c r="J301" s="128" t="n">
        <f aca="false">MAX(0,MIN(F301,I301)-MAX(E301,H301))</f>
        <v>0.25</v>
      </c>
      <c r="K301" s="129" t="n">
        <f aca="false">G301*J301*'Fleet Build'!$K$58/1000000</f>
        <v>0.173781848004106</v>
      </c>
    </row>
    <row r="302" customFormat="false" ht="15" hidden="false" customHeight="false" outlineLevel="0" collapsed="false">
      <c r="B302" s="125" t="str">
        <f aca="false">'Fleet Build'!B29</f>
        <v>Norwegian Spirit</v>
      </c>
      <c r="C302" s="125" t="str">
        <f aca="false">'Fleet Build'!C29</f>
        <v>Norwegian</v>
      </c>
      <c r="D302" s="9" t="s">
        <v>622</v>
      </c>
      <c r="E302" s="111" t="n">
        <f aca="false">I$6</f>
        <v>2026.25</v>
      </c>
      <c r="F302" s="111" t="n">
        <f aca="false">E302+0.25</f>
        <v>2026.5</v>
      </c>
      <c r="G302" s="126" t="n">
        <f aca="false">'Fleet Build'!E29</f>
        <v>1950.87771496578</v>
      </c>
      <c r="H302" s="127" t="n">
        <f aca="false">'Fleet Build'!F29</f>
        <v>2000</v>
      </c>
      <c r="I302" s="127" t="n">
        <f aca="false">'Fleet Build'!G29</f>
        <v>2099</v>
      </c>
      <c r="J302" s="128" t="n">
        <f aca="false">MAX(0,MIN(F302,I302)-MAX(E302,H302))</f>
        <v>0.25</v>
      </c>
      <c r="K302" s="129" t="n">
        <f aca="false">G302*J302*'Fleet Build'!$K$58/1000000</f>
        <v>0.173781848004106</v>
      </c>
    </row>
    <row r="303" customFormat="false" ht="15" hidden="false" customHeight="false" outlineLevel="0" collapsed="false">
      <c r="B303" s="125" t="str">
        <f aca="false">'Fleet Build'!B29</f>
        <v>Norwegian Spirit</v>
      </c>
      <c r="C303" s="125" t="str">
        <f aca="false">'Fleet Build'!C29</f>
        <v>Norwegian</v>
      </c>
      <c r="D303" s="9" t="s">
        <v>200</v>
      </c>
      <c r="E303" s="111" t="n">
        <f aca="false">J$6</f>
        <v>2026.5</v>
      </c>
      <c r="F303" s="111" t="n">
        <f aca="false">E303+0.25</f>
        <v>2026.75</v>
      </c>
      <c r="G303" s="126" t="n">
        <f aca="false">'Fleet Build'!E29</f>
        <v>1950.87771496578</v>
      </c>
      <c r="H303" s="127" t="n">
        <f aca="false">'Fleet Build'!F29</f>
        <v>2000</v>
      </c>
      <c r="I303" s="127" t="n">
        <f aca="false">'Fleet Build'!G29</f>
        <v>2099</v>
      </c>
      <c r="J303" s="128" t="n">
        <f aca="false">MAX(0,MIN(F303,I303)-MAX(E303,H303))</f>
        <v>0.25</v>
      </c>
      <c r="K303" s="129" t="n">
        <f aca="false">G303*J303*'Fleet Build'!$K$58/1000000</f>
        <v>0.173781848004106</v>
      </c>
    </row>
    <row r="304" customFormat="false" ht="15" hidden="false" customHeight="false" outlineLevel="0" collapsed="false">
      <c r="B304" s="125" t="str">
        <f aca="false">'Fleet Build'!B29</f>
        <v>Norwegian Spirit</v>
      </c>
      <c r="C304" s="125" t="str">
        <f aca="false">'Fleet Build'!C29</f>
        <v>Norwegian</v>
      </c>
      <c r="D304" s="9" t="s">
        <v>201</v>
      </c>
      <c r="E304" s="111" t="n">
        <f aca="false">K$6</f>
        <v>2026.75</v>
      </c>
      <c r="F304" s="111" t="n">
        <f aca="false">E304+0.25</f>
        <v>2027</v>
      </c>
      <c r="G304" s="126" t="n">
        <f aca="false">'Fleet Build'!E29</f>
        <v>1950.87771496578</v>
      </c>
      <c r="H304" s="127" t="n">
        <f aca="false">'Fleet Build'!F29</f>
        <v>2000</v>
      </c>
      <c r="I304" s="127" t="n">
        <f aca="false">'Fleet Build'!G29</f>
        <v>2099</v>
      </c>
      <c r="J304" s="128" t="n">
        <f aca="false">MAX(0,MIN(F304,I304)-MAX(E304,H304))</f>
        <v>0.25</v>
      </c>
      <c r="K304" s="129" t="n">
        <f aca="false">G304*J304*'Fleet Build'!$K$58/1000000</f>
        <v>0.173781848004106</v>
      </c>
    </row>
    <row r="305" customFormat="false" ht="15" hidden="false" customHeight="false" outlineLevel="0" collapsed="false">
      <c r="B305" s="125" t="str">
        <f aca="false">'Fleet Build'!B29</f>
        <v>Norwegian Spirit</v>
      </c>
      <c r="C305" s="125" t="str">
        <f aca="false">'Fleet Build'!C29</f>
        <v>Norwegian</v>
      </c>
      <c r="D305" s="9" t="s">
        <v>202</v>
      </c>
      <c r="E305" s="111" t="n">
        <f aca="false">L$6</f>
        <v>2027</v>
      </c>
      <c r="F305" s="111" t="n">
        <f aca="false">E305+0.25</f>
        <v>2027.25</v>
      </c>
      <c r="G305" s="126" t="n">
        <f aca="false">'Fleet Build'!E29</f>
        <v>1950.87771496578</v>
      </c>
      <c r="H305" s="127" t="n">
        <f aca="false">'Fleet Build'!F29</f>
        <v>2000</v>
      </c>
      <c r="I305" s="127" t="n">
        <f aca="false">'Fleet Build'!G29</f>
        <v>2099</v>
      </c>
      <c r="J305" s="128" t="n">
        <f aca="false">MAX(0,MIN(F305,I305)-MAX(E305,H305))</f>
        <v>0.25</v>
      </c>
      <c r="K305" s="129" t="n">
        <f aca="false">G305*J305*'Fleet Build'!$K$58/1000000</f>
        <v>0.173781848004106</v>
      </c>
    </row>
    <row r="306" customFormat="false" ht="15" hidden="false" customHeight="false" outlineLevel="0" collapsed="false">
      <c r="B306" s="125" t="str">
        <f aca="false">'Fleet Build'!B29</f>
        <v>Norwegian Spirit</v>
      </c>
      <c r="C306" s="125" t="str">
        <f aca="false">'Fleet Build'!C29</f>
        <v>Norwegian</v>
      </c>
      <c r="D306" s="9" t="s">
        <v>203</v>
      </c>
      <c r="E306" s="111" t="n">
        <f aca="false">M$6</f>
        <v>2027.25</v>
      </c>
      <c r="F306" s="111" t="n">
        <f aca="false">E306+0.25</f>
        <v>2027.5</v>
      </c>
      <c r="G306" s="126" t="n">
        <f aca="false">'Fleet Build'!E29</f>
        <v>1950.87771496578</v>
      </c>
      <c r="H306" s="127" t="n">
        <f aca="false">'Fleet Build'!F29</f>
        <v>2000</v>
      </c>
      <c r="I306" s="127" t="n">
        <f aca="false">'Fleet Build'!G29</f>
        <v>2099</v>
      </c>
      <c r="J306" s="128" t="n">
        <f aca="false">MAX(0,MIN(F306,I306)-MAX(E306,H306))</f>
        <v>0.25</v>
      </c>
      <c r="K306" s="129" t="n">
        <f aca="false">G306*J306*'Fleet Build'!$K$58/1000000</f>
        <v>0.173781848004106</v>
      </c>
    </row>
    <row r="307" customFormat="false" ht="15" hidden="false" customHeight="false" outlineLevel="0" collapsed="false">
      <c r="B307" s="125" t="str">
        <f aca="false">'Fleet Build'!B29</f>
        <v>Norwegian Spirit</v>
      </c>
      <c r="C307" s="125" t="str">
        <f aca="false">'Fleet Build'!C29</f>
        <v>Norwegian</v>
      </c>
      <c r="D307" s="9" t="s">
        <v>204</v>
      </c>
      <c r="E307" s="111" t="n">
        <f aca="false">N$6</f>
        <v>2027.5</v>
      </c>
      <c r="F307" s="111" t="n">
        <f aca="false">E307+0.25</f>
        <v>2027.75</v>
      </c>
      <c r="G307" s="126" t="n">
        <f aca="false">'Fleet Build'!E29</f>
        <v>1950.87771496578</v>
      </c>
      <c r="H307" s="127" t="n">
        <f aca="false">'Fleet Build'!F29</f>
        <v>2000</v>
      </c>
      <c r="I307" s="127" t="n">
        <f aca="false">'Fleet Build'!G29</f>
        <v>2099</v>
      </c>
      <c r="J307" s="128" t="n">
        <f aca="false">MAX(0,MIN(F307,I307)-MAX(E307,H307))</f>
        <v>0.25</v>
      </c>
      <c r="K307" s="129" t="n">
        <f aca="false">G307*J307*'Fleet Build'!$K$58/1000000</f>
        <v>0.173781848004106</v>
      </c>
    </row>
    <row r="308" customFormat="false" ht="15" hidden="false" customHeight="false" outlineLevel="0" collapsed="false">
      <c r="B308" s="125" t="str">
        <f aca="false">'Fleet Build'!B29</f>
        <v>Norwegian Spirit</v>
      </c>
      <c r="C308" s="125" t="str">
        <f aca="false">'Fleet Build'!C29</f>
        <v>Norwegian</v>
      </c>
      <c r="D308" s="9" t="s">
        <v>205</v>
      </c>
      <c r="E308" s="111" t="n">
        <f aca="false">O$6</f>
        <v>2027.75</v>
      </c>
      <c r="F308" s="111" t="n">
        <f aca="false">E308+0.25</f>
        <v>2028</v>
      </c>
      <c r="G308" s="126" t="n">
        <f aca="false">'Fleet Build'!E29</f>
        <v>1950.87771496578</v>
      </c>
      <c r="H308" s="127" t="n">
        <f aca="false">'Fleet Build'!F29</f>
        <v>2000</v>
      </c>
      <c r="I308" s="127" t="n">
        <f aca="false">'Fleet Build'!G29</f>
        <v>2099</v>
      </c>
      <c r="J308" s="128" t="n">
        <f aca="false">MAX(0,MIN(F308,I308)-MAX(E308,H308))</f>
        <v>0.25</v>
      </c>
      <c r="K308" s="129" t="n">
        <f aca="false">G308*J308*'Fleet Build'!$K$58/1000000</f>
        <v>0.173781848004106</v>
      </c>
    </row>
    <row r="309" customFormat="false" ht="15" hidden="false" customHeight="false" outlineLevel="0" collapsed="false">
      <c r="B309" s="125" t="str">
        <f aca="false">'Fleet Build'!B30</f>
        <v>Oceania Sonata</v>
      </c>
      <c r="C309" s="125" t="str">
        <f aca="false">'Fleet Build'!C30</f>
        <v>Oceania</v>
      </c>
      <c r="D309" s="9" t="s">
        <v>617</v>
      </c>
      <c r="E309" s="111" t="n">
        <f aca="false">D$6</f>
        <v>2025</v>
      </c>
      <c r="F309" s="111" t="n">
        <f aca="false">E309+0.25</f>
        <v>2025.25</v>
      </c>
      <c r="G309" s="126" t="n">
        <f aca="false">'Fleet Build'!E30</f>
        <v>1390</v>
      </c>
      <c r="H309" s="127" t="n">
        <f aca="false">'Fleet Build'!F30</f>
        <v>2027.58</v>
      </c>
      <c r="I309" s="127" t="n">
        <f aca="false">'Fleet Build'!G30</f>
        <v>2099</v>
      </c>
      <c r="J309" s="128" t="n">
        <f aca="false">MAX(0,MIN(F309,I309)-MAX(E309,H309))</f>
        <v>0</v>
      </c>
      <c r="K309" s="129" t="n">
        <f aca="false">G309*J309*'Fleet Build'!$K$58/1000000</f>
        <v>0</v>
      </c>
    </row>
    <row r="310" customFormat="false" ht="15" hidden="false" customHeight="false" outlineLevel="0" collapsed="false">
      <c r="B310" s="125" t="str">
        <f aca="false">'Fleet Build'!B30</f>
        <v>Oceania Sonata</v>
      </c>
      <c r="C310" s="125" t="str">
        <f aca="false">'Fleet Build'!C30</f>
        <v>Oceania</v>
      </c>
      <c r="D310" s="9" t="s">
        <v>618</v>
      </c>
      <c r="E310" s="111" t="n">
        <f aca="false">E$6</f>
        <v>2025.25</v>
      </c>
      <c r="F310" s="111" t="n">
        <f aca="false">E310+0.25</f>
        <v>2025.5</v>
      </c>
      <c r="G310" s="126" t="n">
        <f aca="false">'Fleet Build'!E30</f>
        <v>1390</v>
      </c>
      <c r="H310" s="127" t="n">
        <f aca="false">'Fleet Build'!F30</f>
        <v>2027.58</v>
      </c>
      <c r="I310" s="127" t="n">
        <f aca="false">'Fleet Build'!G30</f>
        <v>2099</v>
      </c>
      <c r="J310" s="128" t="n">
        <f aca="false">MAX(0,MIN(F310,I310)-MAX(E310,H310))</f>
        <v>0</v>
      </c>
      <c r="K310" s="129" t="n">
        <f aca="false">G310*J310*'Fleet Build'!$K$58/1000000</f>
        <v>0</v>
      </c>
    </row>
    <row r="311" customFormat="false" ht="15" hidden="false" customHeight="false" outlineLevel="0" collapsed="false">
      <c r="B311" s="125" t="str">
        <f aca="false">'Fleet Build'!B30</f>
        <v>Oceania Sonata</v>
      </c>
      <c r="C311" s="125" t="str">
        <f aca="false">'Fleet Build'!C30</f>
        <v>Oceania</v>
      </c>
      <c r="D311" s="9" t="s">
        <v>619</v>
      </c>
      <c r="E311" s="111" t="n">
        <f aca="false">F$6</f>
        <v>2025.5</v>
      </c>
      <c r="F311" s="111" t="n">
        <f aca="false">E311+0.25</f>
        <v>2025.75</v>
      </c>
      <c r="G311" s="126" t="n">
        <f aca="false">'Fleet Build'!E30</f>
        <v>1390</v>
      </c>
      <c r="H311" s="127" t="n">
        <f aca="false">'Fleet Build'!F30</f>
        <v>2027.58</v>
      </c>
      <c r="I311" s="127" t="n">
        <f aca="false">'Fleet Build'!G30</f>
        <v>2099</v>
      </c>
      <c r="J311" s="128" t="n">
        <f aca="false">MAX(0,MIN(F311,I311)-MAX(E311,H311))</f>
        <v>0</v>
      </c>
      <c r="K311" s="129" t="n">
        <f aca="false">G311*J311*'Fleet Build'!$K$58/1000000</f>
        <v>0</v>
      </c>
    </row>
    <row r="312" customFormat="false" ht="15" hidden="false" customHeight="false" outlineLevel="0" collapsed="false">
      <c r="B312" s="125" t="str">
        <f aca="false">'Fleet Build'!B30</f>
        <v>Oceania Sonata</v>
      </c>
      <c r="C312" s="125" t="str">
        <f aca="false">'Fleet Build'!C30</f>
        <v>Oceania</v>
      </c>
      <c r="D312" s="9" t="s">
        <v>620</v>
      </c>
      <c r="E312" s="111" t="n">
        <f aca="false">G$6</f>
        <v>2025.75</v>
      </c>
      <c r="F312" s="111" t="n">
        <f aca="false">E312+0.25</f>
        <v>2026</v>
      </c>
      <c r="G312" s="126" t="n">
        <f aca="false">'Fleet Build'!E30</f>
        <v>1390</v>
      </c>
      <c r="H312" s="127" t="n">
        <f aca="false">'Fleet Build'!F30</f>
        <v>2027.58</v>
      </c>
      <c r="I312" s="127" t="n">
        <f aca="false">'Fleet Build'!G30</f>
        <v>2099</v>
      </c>
      <c r="J312" s="128" t="n">
        <f aca="false">MAX(0,MIN(F312,I312)-MAX(E312,H312))</f>
        <v>0</v>
      </c>
      <c r="K312" s="129" t="n">
        <f aca="false">G312*J312*'Fleet Build'!$K$58/1000000</f>
        <v>0</v>
      </c>
    </row>
    <row r="313" customFormat="false" ht="15" hidden="false" customHeight="false" outlineLevel="0" collapsed="false">
      <c r="B313" s="125" t="str">
        <f aca="false">'Fleet Build'!B30</f>
        <v>Oceania Sonata</v>
      </c>
      <c r="C313" s="125" t="str">
        <f aca="false">'Fleet Build'!C30</f>
        <v>Oceania</v>
      </c>
      <c r="D313" s="9" t="s">
        <v>621</v>
      </c>
      <c r="E313" s="111" t="n">
        <f aca="false">H$6</f>
        <v>2026</v>
      </c>
      <c r="F313" s="111" t="n">
        <f aca="false">E313+0.25</f>
        <v>2026.25</v>
      </c>
      <c r="G313" s="126" t="n">
        <f aca="false">'Fleet Build'!E30</f>
        <v>1390</v>
      </c>
      <c r="H313" s="127" t="n">
        <f aca="false">'Fleet Build'!F30</f>
        <v>2027.58</v>
      </c>
      <c r="I313" s="127" t="n">
        <f aca="false">'Fleet Build'!G30</f>
        <v>2099</v>
      </c>
      <c r="J313" s="128" t="n">
        <f aca="false">MAX(0,MIN(F313,I313)-MAX(E313,H313))</f>
        <v>0</v>
      </c>
      <c r="K313" s="129" t="n">
        <f aca="false">G313*J313*'Fleet Build'!$K$58/1000000</f>
        <v>0</v>
      </c>
    </row>
    <row r="314" customFormat="false" ht="15" hidden="false" customHeight="false" outlineLevel="0" collapsed="false">
      <c r="B314" s="125" t="str">
        <f aca="false">'Fleet Build'!B30</f>
        <v>Oceania Sonata</v>
      </c>
      <c r="C314" s="125" t="str">
        <f aca="false">'Fleet Build'!C30</f>
        <v>Oceania</v>
      </c>
      <c r="D314" s="9" t="s">
        <v>622</v>
      </c>
      <c r="E314" s="111" t="n">
        <f aca="false">I$6</f>
        <v>2026.25</v>
      </c>
      <c r="F314" s="111" t="n">
        <f aca="false">E314+0.25</f>
        <v>2026.5</v>
      </c>
      <c r="G314" s="126" t="n">
        <f aca="false">'Fleet Build'!E30</f>
        <v>1390</v>
      </c>
      <c r="H314" s="127" t="n">
        <f aca="false">'Fleet Build'!F30</f>
        <v>2027.58</v>
      </c>
      <c r="I314" s="127" t="n">
        <f aca="false">'Fleet Build'!G30</f>
        <v>2099</v>
      </c>
      <c r="J314" s="128" t="n">
        <f aca="false">MAX(0,MIN(F314,I314)-MAX(E314,H314))</f>
        <v>0</v>
      </c>
      <c r="K314" s="129" t="n">
        <f aca="false">G314*J314*'Fleet Build'!$K$58/1000000</f>
        <v>0</v>
      </c>
    </row>
    <row r="315" customFormat="false" ht="15" hidden="false" customHeight="false" outlineLevel="0" collapsed="false">
      <c r="B315" s="125" t="str">
        <f aca="false">'Fleet Build'!B30</f>
        <v>Oceania Sonata</v>
      </c>
      <c r="C315" s="125" t="str">
        <f aca="false">'Fleet Build'!C30</f>
        <v>Oceania</v>
      </c>
      <c r="D315" s="9" t="s">
        <v>200</v>
      </c>
      <c r="E315" s="111" t="n">
        <f aca="false">J$6</f>
        <v>2026.5</v>
      </c>
      <c r="F315" s="111" t="n">
        <f aca="false">E315+0.25</f>
        <v>2026.75</v>
      </c>
      <c r="G315" s="126" t="n">
        <f aca="false">'Fleet Build'!E30</f>
        <v>1390</v>
      </c>
      <c r="H315" s="127" t="n">
        <f aca="false">'Fleet Build'!F30</f>
        <v>2027.58</v>
      </c>
      <c r="I315" s="127" t="n">
        <f aca="false">'Fleet Build'!G30</f>
        <v>2099</v>
      </c>
      <c r="J315" s="128" t="n">
        <f aca="false">MAX(0,MIN(F315,I315)-MAX(E315,H315))</f>
        <v>0</v>
      </c>
      <c r="K315" s="129" t="n">
        <f aca="false">G315*J315*'Fleet Build'!$K$58/1000000</f>
        <v>0</v>
      </c>
    </row>
    <row r="316" customFormat="false" ht="15" hidden="false" customHeight="false" outlineLevel="0" collapsed="false">
      <c r="B316" s="125" t="str">
        <f aca="false">'Fleet Build'!B30</f>
        <v>Oceania Sonata</v>
      </c>
      <c r="C316" s="125" t="str">
        <f aca="false">'Fleet Build'!C30</f>
        <v>Oceania</v>
      </c>
      <c r="D316" s="9" t="s">
        <v>201</v>
      </c>
      <c r="E316" s="111" t="n">
        <f aca="false">K$6</f>
        <v>2026.75</v>
      </c>
      <c r="F316" s="111" t="n">
        <f aca="false">E316+0.25</f>
        <v>2027</v>
      </c>
      <c r="G316" s="126" t="n">
        <f aca="false">'Fleet Build'!E30</f>
        <v>1390</v>
      </c>
      <c r="H316" s="127" t="n">
        <f aca="false">'Fleet Build'!F30</f>
        <v>2027.58</v>
      </c>
      <c r="I316" s="127" t="n">
        <f aca="false">'Fleet Build'!G30</f>
        <v>2099</v>
      </c>
      <c r="J316" s="128" t="n">
        <f aca="false">MAX(0,MIN(F316,I316)-MAX(E316,H316))</f>
        <v>0</v>
      </c>
      <c r="K316" s="129" t="n">
        <f aca="false">G316*J316*'Fleet Build'!$K$58/1000000</f>
        <v>0</v>
      </c>
    </row>
    <row r="317" customFormat="false" ht="15" hidden="false" customHeight="false" outlineLevel="0" collapsed="false">
      <c r="B317" s="125" t="str">
        <f aca="false">'Fleet Build'!B30</f>
        <v>Oceania Sonata</v>
      </c>
      <c r="C317" s="125" t="str">
        <f aca="false">'Fleet Build'!C30</f>
        <v>Oceania</v>
      </c>
      <c r="D317" s="9" t="s">
        <v>202</v>
      </c>
      <c r="E317" s="111" t="n">
        <f aca="false">L$6</f>
        <v>2027</v>
      </c>
      <c r="F317" s="111" t="n">
        <f aca="false">E317+0.25</f>
        <v>2027.25</v>
      </c>
      <c r="G317" s="126" t="n">
        <f aca="false">'Fleet Build'!E30</f>
        <v>1390</v>
      </c>
      <c r="H317" s="127" t="n">
        <f aca="false">'Fleet Build'!F30</f>
        <v>2027.58</v>
      </c>
      <c r="I317" s="127" t="n">
        <f aca="false">'Fleet Build'!G30</f>
        <v>2099</v>
      </c>
      <c r="J317" s="128" t="n">
        <f aca="false">MAX(0,MIN(F317,I317)-MAX(E317,H317))</f>
        <v>0</v>
      </c>
      <c r="K317" s="129" t="n">
        <f aca="false">G317*J317*'Fleet Build'!$K$58/1000000</f>
        <v>0</v>
      </c>
    </row>
    <row r="318" customFormat="false" ht="15" hidden="false" customHeight="false" outlineLevel="0" collapsed="false">
      <c r="B318" s="125" t="str">
        <f aca="false">'Fleet Build'!B30</f>
        <v>Oceania Sonata</v>
      </c>
      <c r="C318" s="125" t="str">
        <f aca="false">'Fleet Build'!C30</f>
        <v>Oceania</v>
      </c>
      <c r="D318" s="9" t="s">
        <v>203</v>
      </c>
      <c r="E318" s="111" t="n">
        <f aca="false">M$6</f>
        <v>2027.25</v>
      </c>
      <c r="F318" s="111" t="n">
        <f aca="false">E318+0.25</f>
        <v>2027.5</v>
      </c>
      <c r="G318" s="126" t="n">
        <f aca="false">'Fleet Build'!E30</f>
        <v>1390</v>
      </c>
      <c r="H318" s="127" t="n">
        <f aca="false">'Fleet Build'!F30</f>
        <v>2027.58</v>
      </c>
      <c r="I318" s="127" t="n">
        <f aca="false">'Fleet Build'!G30</f>
        <v>2099</v>
      </c>
      <c r="J318" s="128" t="n">
        <f aca="false">MAX(0,MIN(F318,I318)-MAX(E318,H318))</f>
        <v>0</v>
      </c>
      <c r="K318" s="129" t="n">
        <f aca="false">G318*J318*'Fleet Build'!$K$58/1000000</f>
        <v>0</v>
      </c>
    </row>
    <row r="319" customFormat="false" ht="15" hidden="false" customHeight="false" outlineLevel="0" collapsed="false">
      <c r="B319" s="125" t="str">
        <f aca="false">'Fleet Build'!B30</f>
        <v>Oceania Sonata</v>
      </c>
      <c r="C319" s="125" t="str">
        <f aca="false">'Fleet Build'!C30</f>
        <v>Oceania</v>
      </c>
      <c r="D319" s="9" t="s">
        <v>204</v>
      </c>
      <c r="E319" s="111" t="n">
        <f aca="false">N$6</f>
        <v>2027.5</v>
      </c>
      <c r="F319" s="111" t="n">
        <f aca="false">E319+0.25</f>
        <v>2027.75</v>
      </c>
      <c r="G319" s="126" t="n">
        <f aca="false">'Fleet Build'!E30</f>
        <v>1390</v>
      </c>
      <c r="H319" s="127" t="n">
        <f aca="false">'Fleet Build'!F30</f>
        <v>2027.58</v>
      </c>
      <c r="I319" s="127" t="n">
        <f aca="false">'Fleet Build'!G30</f>
        <v>2099</v>
      </c>
      <c r="J319" s="128" t="n">
        <f aca="false">MAX(0,MIN(F319,I319)-MAX(E319,H319))</f>
        <v>0.170000000000073</v>
      </c>
      <c r="K319" s="129" t="n">
        <f aca="false">G319*J319*'Fleet Build'!$K$58/1000000</f>
        <v>0.0841972828299143</v>
      </c>
    </row>
    <row r="320" customFormat="false" ht="15" hidden="false" customHeight="false" outlineLevel="0" collapsed="false">
      <c r="B320" s="125" t="str">
        <f aca="false">'Fleet Build'!B30</f>
        <v>Oceania Sonata</v>
      </c>
      <c r="C320" s="125" t="str">
        <f aca="false">'Fleet Build'!C30</f>
        <v>Oceania</v>
      </c>
      <c r="D320" s="9" t="s">
        <v>205</v>
      </c>
      <c r="E320" s="111" t="n">
        <f aca="false">O$6</f>
        <v>2027.75</v>
      </c>
      <c r="F320" s="111" t="n">
        <f aca="false">E320+0.25</f>
        <v>2028</v>
      </c>
      <c r="G320" s="126" t="n">
        <f aca="false">'Fleet Build'!E30</f>
        <v>1390</v>
      </c>
      <c r="H320" s="127" t="n">
        <f aca="false">'Fleet Build'!F30</f>
        <v>2027.58</v>
      </c>
      <c r="I320" s="127" t="n">
        <f aca="false">'Fleet Build'!G30</f>
        <v>2099</v>
      </c>
      <c r="J320" s="128" t="n">
        <f aca="false">MAX(0,MIN(F320,I320)-MAX(E320,H320))</f>
        <v>0.25</v>
      </c>
      <c r="K320" s="129" t="n">
        <f aca="false">G320*J320*'Fleet Build'!$K$58/1000000</f>
        <v>0.12381953357335</v>
      </c>
    </row>
    <row r="321" customFormat="false" ht="15" hidden="false" customHeight="false" outlineLevel="0" collapsed="false">
      <c r="B321" s="125" t="str">
        <f aca="false">'Fleet Build'!B31</f>
        <v>Oceania Sonata class #2</v>
      </c>
      <c r="C321" s="125" t="str">
        <f aca="false">'Fleet Build'!C31</f>
        <v>Oceania</v>
      </c>
      <c r="D321" s="9" t="s">
        <v>617</v>
      </c>
      <c r="E321" s="111" t="n">
        <f aca="false">D$6</f>
        <v>2025</v>
      </c>
      <c r="F321" s="111" t="n">
        <f aca="false">E321+0.25</f>
        <v>2025.25</v>
      </c>
      <c r="G321" s="126" t="n">
        <f aca="false">'Fleet Build'!E31</f>
        <v>1390</v>
      </c>
      <c r="H321" s="127" t="n">
        <f aca="false">'Fleet Build'!F31</f>
        <v>2029.5</v>
      </c>
      <c r="I321" s="127" t="n">
        <f aca="false">'Fleet Build'!G31</f>
        <v>2099</v>
      </c>
      <c r="J321" s="128" t="n">
        <f aca="false">MAX(0,MIN(F321,I321)-MAX(E321,H321))</f>
        <v>0</v>
      </c>
      <c r="K321" s="129" t="n">
        <f aca="false">G321*J321*'Fleet Build'!$K$58/1000000</f>
        <v>0</v>
      </c>
    </row>
    <row r="322" customFormat="false" ht="15" hidden="false" customHeight="false" outlineLevel="0" collapsed="false">
      <c r="B322" s="125" t="str">
        <f aca="false">'Fleet Build'!B31</f>
        <v>Oceania Sonata class #2</v>
      </c>
      <c r="C322" s="125" t="str">
        <f aca="false">'Fleet Build'!C31</f>
        <v>Oceania</v>
      </c>
      <c r="D322" s="9" t="s">
        <v>618</v>
      </c>
      <c r="E322" s="111" t="n">
        <f aca="false">E$6</f>
        <v>2025.25</v>
      </c>
      <c r="F322" s="111" t="n">
        <f aca="false">E322+0.25</f>
        <v>2025.5</v>
      </c>
      <c r="G322" s="126" t="n">
        <f aca="false">'Fleet Build'!E31</f>
        <v>1390</v>
      </c>
      <c r="H322" s="127" t="n">
        <f aca="false">'Fleet Build'!F31</f>
        <v>2029.5</v>
      </c>
      <c r="I322" s="127" t="n">
        <f aca="false">'Fleet Build'!G31</f>
        <v>2099</v>
      </c>
      <c r="J322" s="128" t="n">
        <f aca="false">MAX(0,MIN(F322,I322)-MAX(E322,H322))</f>
        <v>0</v>
      </c>
      <c r="K322" s="129" t="n">
        <f aca="false">G322*J322*'Fleet Build'!$K$58/1000000</f>
        <v>0</v>
      </c>
    </row>
    <row r="323" customFormat="false" ht="15" hidden="false" customHeight="false" outlineLevel="0" collapsed="false">
      <c r="B323" s="125" t="str">
        <f aca="false">'Fleet Build'!B31</f>
        <v>Oceania Sonata class #2</v>
      </c>
      <c r="C323" s="125" t="str">
        <f aca="false">'Fleet Build'!C31</f>
        <v>Oceania</v>
      </c>
      <c r="D323" s="9" t="s">
        <v>619</v>
      </c>
      <c r="E323" s="111" t="n">
        <f aca="false">F$6</f>
        <v>2025.5</v>
      </c>
      <c r="F323" s="111" t="n">
        <f aca="false">E323+0.25</f>
        <v>2025.75</v>
      </c>
      <c r="G323" s="126" t="n">
        <f aca="false">'Fleet Build'!E31</f>
        <v>1390</v>
      </c>
      <c r="H323" s="127" t="n">
        <f aca="false">'Fleet Build'!F31</f>
        <v>2029.5</v>
      </c>
      <c r="I323" s="127" t="n">
        <f aca="false">'Fleet Build'!G31</f>
        <v>2099</v>
      </c>
      <c r="J323" s="128" t="n">
        <f aca="false">MAX(0,MIN(F323,I323)-MAX(E323,H323))</f>
        <v>0</v>
      </c>
      <c r="K323" s="129" t="n">
        <f aca="false">G323*J323*'Fleet Build'!$K$58/1000000</f>
        <v>0</v>
      </c>
    </row>
    <row r="324" customFormat="false" ht="15" hidden="false" customHeight="false" outlineLevel="0" collapsed="false">
      <c r="B324" s="125" t="str">
        <f aca="false">'Fleet Build'!B31</f>
        <v>Oceania Sonata class #2</v>
      </c>
      <c r="C324" s="125" t="str">
        <f aca="false">'Fleet Build'!C31</f>
        <v>Oceania</v>
      </c>
      <c r="D324" s="9" t="s">
        <v>620</v>
      </c>
      <c r="E324" s="111" t="n">
        <f aca="false">G$6</f>
        <v>2025.75</v>
      </c>
      <c r="F324" s="111" t="n">
        <f aca="false">E324+0.25</f>
        <v>2026</v>
      </c>
      <c r="G324" s="126" t="n">
        <f aca="false">'Fleet Build'!E31</f>
        <v>1390</v>
      </c>
      <c r="H324" s="127" t="n">
        <f aca="false">'Fleet Build'!F31</f>
        <v>2029.5</v>
      </c>
      <c r="I324" s="127" t="n">
        <f aca="false">'Fleet Build'!G31</f>
        <v>2099</v>
      </c>
      <c r="J324" s="128" t="n">
        <f aca="false">MAX(0,MIN(F324,I324)-MAX(E324,H324))</f>
        <v>0</v>
      </c>
      <c r="K324" s="129" t="n">
        <f aca="false">G324*J324*'Fleet Build'!$K$58/1000000</f>
        <v>0</v>
      </c>
    </row>
    <row r="325" customFormat="false" ht="15" hidden="false" customHeight="false" outlineLevel="0" collapsed="false">
      <c r="B325" s="125" t="str">
        <f aca="false">'Fleet Build'!B31</f>
        <v>Oceania Sonata class #2</v>
      </c>
      <c r="C325" s="125" t="str">
        <f aca="false">'Fleet Build'!C31</f>
        <v>Oceania</v>
      </c>
      <c r="D325" s="9" t="s">
        <v>621</v>
      </c>
      <c r="E325" s="111" t="n">
        <f aca="false">H$6</f>
        <v>2026</v>
      </c>
      <c r="F325" s="111" t="n">
        <f aca="false">E325+0.25</f>
        <v>2026.25</v>
      </c>
      <c r="G325" s="126" t="n">
        <f aca="false">'Fleet Build'!E31</f>
        <v>1390</v>
      </c>
      <c r="H325" s="127" t="n">
        <f aca="false">'Fleet Build'!F31</f>
        <v>2029.5</v>
      </c>
      <c r="I325" s="127" t="n">
        <f aca="false">'Fleet Build'!G31</f>
        <v>2099</v>
      </c>
      <c r="J325" s="128" t="n">
        <f aca="false">MAX(0,MIN(F325,I325)-MAX(E325,H325))</f>
        <v>0</v>
      </c>
      <c r="K325" s="129" t="n">
        <f aca="false">G325*J325*'Fleet Build'!$K$58/1000000</f>
        <v>0</v>
      </c>
    </row>
    <row r="326" customFormat="false" ht="15" hidden="false" customHeight="false" outlineLevel="0" collapsed="false">
      <c r="B326" s="125" t="str">
        <f aca="false">'Fleet Build'!B31</f>
        <v>Oceania Sonata class #2</v>
      </c>
      <c r="C326" s="125" t="str">
        <f aca="false">'Fleet Build'!C31</f>
        <v>Oceania</v>
      </c>
      <c r="D326" s="9" t="s">
        <v>622</v>
      </c>
      <c r="E326" s="111" t="n">
        <f aca="false">I$6</f>
        <v>2026.25</v>
      </c>
      <c r="F326" s="111" t="n">
        <f aca="false">E326+0.25</f>
        <v>2026.5</v>
      </c>
      <c r="G326" s="126" t="n">
        <f aca="false">'Fleet Build'!E31</f>
        <v>1390</v>
      </c>
      <c r="H326" s="127" t="n">
        <f aca="false">'Fleet Build'!F31</f>
        <v>2029.5</v>
      </c>
      <c r="I326" s="127" t="n">
        <f aca="false">'Fleet Build'!G31</f>
        <v>2099</v>
      </c>
      <c r="J326" s="128" t="n">
        <f aca="false">MAX(0,MIN(F326,I326)-MAX(E326,H326))</f>
        <v>0</v>
      </c>
      <c r="K326" s="129" t="n">
        <f aca="false">G326*J326*'Fleet Build'!$K$58/1000000</f>
        <v>0</v>
      </c>
    </row>
    <row r="327" customFormat="false" ht="15" hidden="false" customHeight="false" outlineLevel="0" collapsed="false">
      <c r="B327" s="125" t="str">
        <f aca="false">'Fleet Build'!B31</f>
        <v>Oceania Sonata class #2</v>
      </c>
      <c r="C327" s="125" t="str">
        <f aca="false">'Fleet Build'!C31</f>
        <v>Oceania</v>
      </c>
      <c r="D327" s="9" t="s">
        <v>200</v>
      </c>
      <c r="E327" s="111" t="n">
        <f aca="false">J$6</f>
        <v>2026.5</v>
      </c>
      <c r="F327" s="111" t="n">
        <f aca="false">E327+0.25</f>
        <v>2026.75</v>
      </c>
      <c r="G327" s="126" t="n">
        <f aca="false">'Fleet Build'!E31</f>
        <v>1390</v>
      </c>
      <c r="H327" s="127" t="n">
        <f aca="false">'Fleet Build'!F31</f>
        <v>2029.5</v>
      </c>
      <c r="I327" s="127" t="n">
        <f aca="false">'Fleet Build'!G31</f>
        <v>2099</v>
      </c>
      <c r="J327" s="128" t="n">
        <f aca="false">MAX(0,MIN(F327,I327)-MAX(E327,H327))</f>
        <v>0</v>
      </c>
      <c r="K327" s="129" t="n">
        <f aca="false">G327*J327*'Fleet Build'!$K$58/1000000</f>
        <v>0</v>
      </c>
    </row>
    <row r="328" customFormat="false" ht="15" hidden="false" customHeight="false" outlineLevel="0" collapsed="false">
      <c r="B328" s="125" t="str">
        <f aca="false">'Fleet Build'!B31</f>
        <v>Oceania Sonata class #2</v>
      </c>
      <c r="C328" s="125" t="str">
        <f aca="false">'Fleet Build'!C31</f>
        <v>Oceania</v>
      </c>
      <c r="D328" s="9" t="s">
        <v>201</v>
      </c>
      <c r="E328" s="111" t="n">
        <f aca="false">K$6</f>
        <v>2026.75</v>
      </c>
      <c r="F328" s="111" t="n">
        <f aca="false">E328+0.25</f>
        <v>2027</v>
      </c>
      <c r="G328" s="126" t="n">
        <f aca="false">'Fleet Build'!E31</f>
        <v>1390</v>
      </c>
      <c r="H328" s="127" t="n">
        <f aca="false">'Fleet Build'!F31</f>
        <v>2029.5</v>
      </c>
      <c r="I328" s="127" t="n">
        <f aca="false">'Fleet Build'!G31</f>
        <v>2099</v>
      </c>
      <c r="J328" s="128" t="n">
        <f aca="false">MAX(0,MIN(F328,I328)-MAX(E328,H328))</f>
        <v>0</v>
      </c>
      <c r="K328" s="129" t="n">
        <f aca="false">G328*J328*'Fleet Build'!$K$58/1000000</f>
        <v>0</v>
      </c>
    </row>
    <row r="329" customFormat="false" ht="15" hidden="false" customHeight="false" outlineLevel="0" collapsed="false">
      <c r="B329" s="125" t="str">
        <f aca="false">'Fleet Build'!B31</f>
        <v>Oceania Sonata class #2</v>
      </c>
      <c r="C329" s="125" t="str">
        <f aca="false">'Fleet Build'!C31</f>
        <v>Oceania</v>
      </c>
      <c r="D329" s="9" t="s">
        <v>202</v>
      </c>
      <c r="E329" s="111" t="n">
        <f aca="false">L$6</f>
        <v>2027</v>
      </c>
      <c r="F329" s="111" t="n">
        <f aca="false">E329+0.25</f>
        <v>2027.25</v>
      </c>
      <c r="G329" s="126" t="n">
        <f aca="false">'Fleet Build'!E31</f>
        <v>1390</v>
      </c>
      <c r="H329" s="127" t="n">
        <f aca="false">'Fleet Build'!F31</f>
        <v>2029.5</v>
      </c>
      <c r="I329" s="127" t="n">
        <f aca="false">'Fleet Build'!G31</f>
        <v>2099</v>
      </c>
      <c r="J329" s="128" t="n">
        <f aca="false">MAX(0,MIN(F329,I329)-MAX(E329,H329))</f>
        <v>0</v>
      </c>
      <c r="K329" s="129" t="n">
        <f aca="false">G329*J329*'Fleet Build'!$K$58/1000000</f>
        <v>0</v>
      </c>
    </row>
    <row r="330" customFormat="false" ht="15" hidden="false" customHeight="false" outlineLevel="0" collapsed="false">
      <c r="B330" s="125" t="str">
        <f aca="false">'Fleet Build'!B31</f>
        <v>Oceania Sonata class #2</v>
      </c>
      <c r="C330" s="125" t="str">
        <f aca="false">'Fleet Build'!C31</f>
        <v>Oceania</v>
      </c>
      <c r="D330" s="9" t="s">
        <v>203</v>
      </c>
      <c r="E330" s="111" t="n">
        <f aca="false">M$6</f>
        <v>2027.25</v>
      </c>
      <c r="F330" s="111" t="n">
        <f aca="false">E330+0.25</f>
        <v>2027.5</v>
      </c>
      <c r="G330" s="126" t="n">
        <f aca="false">'Fleet Build'!E31</f>
        <v>1390</v>
      </c>
      <c r="H330" s="127" t="n">
        <f aca="false">'Fleet Build'!F31</f>
        <v>2029.5</v>
      </c>
      <c r="I330" s="127" t="n">
        <f aca="false">'Fleet Build'!G31</f>
        <v>2099</v>
      </c>
      <c r="J330" s="128" t="n">
        <f aca="false">MAX(0,MIN(F330,I330)-MAX(E330,H330))</f>
        <v>0</v>
      </c>
      <c r="K330" s="129" t="n">
        <f aca="false">G330*J330*'Fleet Build'!$K$58/1000000</f>
        <v>0</v>
      </c>
    </row>
    <row r="331" customFormat="false" ht="15" hidden="false" customHeight="false" outlineLevel="0" collapsed="false">
      <c r="B331" s="125" t="str">
        <f aca="false">'Fleet Build'!B31</f>
        <v>Oceania Sonata class #2</v>
      </c>
      <c r="C331" s="125" t="str">
        <f aca="false">'Fleet Build'!C31</f>
        <v>Oceania</v>
      </c>
      <c r="D331" s="9" t="s">
        <v>204</v>
      </c>
      <c r="E331" s="111" t="n">
        <f aca="false">N$6</f>
        <v>2027.5</v>
      </c>
      <c r="F331" s="111" t="n">
        <f aca="false">E331+0.25</f>
        <v>2027.75</v>
      </c>
      <c r="G331" s="126" t="n">
        <f aca="false">'Fleet Build'!E31</f>
        <v>1390</v>
      </c>
      <c r="H331" s="127" t="n">
        <f aca="false">'Fleet Build'!F31</f>
        <v>2029.5</v>
      </c>
      <c r="I331" s="127" t="n">
        <f aca="false">'Fleet Build'!G31</f>
        <v>2099</v>
      </c>
      <c r="J331" s="128" t="n">
        <f aca="false">MAX(0,MIN(F331,I331)-MAX(E331,H331))</f>
        <v>0</v>
      </c>
      <c r="K331" s="129" t="n">
        <f aca="false">G331*J331*'Fleet Build'!$K$58/1000000</f>
        <v>0</v>
      </c>
    </row>
    <row r="332" customFormat="false" ht="15" hidden="false" customHeight="false" outlineLevel="0" collapsed="false">
      <c r="B332" s="125" t="str">
        <f aca="false">'Fleet Build'!B31</f>
        <v>Oceania Sonata class #2</v>
      </c>
      <c r="C332" s="125" t="str">
        <f aca="false">'Fleet Build'!C31</f>
        <v>Oceania</v>
      </c>
      <c r="D332" s="9" t="s">
        <v>205</v>
      </c>
      <c r="E332" s="111" t="n">
        <f aca="false">O$6</f>
        <v>2027.75</v>
      </c>
      <c r="F332" s="111" t="n">
        <f aca="false">E332+0.25</f>
        <v>2028</v>
      </c>
      <c r="G332" s="126" t="n">
        <f aca="false">'Fleet Build'!E31</f>
        <v>1390</v>
      </c>
      <c r="H332" s="127" t="n">
        <f aca="false">'Fleet Build'!F31</f>
        <v>2029.5</v>
      </c>
      <c r="I332" s="127" t="n">
        <f aca="false">'Fleet Build'!G31</f>
        <v>2099</v>
      </c>
      <c r="J332" s="128" t="n">
        <f aca="false">MAX(0,MIN(F332,I332)-MAX(E332,H332))</f>
        <v>0</v>
      </c>
      <c r="K332" s="129" t="n">
        <f aca="false">G332*J332*'Fleet Build'!$K$58/1000000</f>
        <v>0</v>
      </c>
    </row>
    <row r="333" customFormat="false" ht="15" hidden="false" customHeight="false" outlineLevel="0" collapsed="false">
      <c r="B333" s="125" t="str">
        <f aca="false">'Fleet Build'!B32</f>
        <v>Oceania Allura</v>
      </c>
      <c r="C333" s="125" t="str">
        <f aca="false">'Fleet Build'!C32</f>
        <v>Oceania</v>
      </c>
      <c r="D333" s="9" t="s">
        <v>617</v>
      </c>
      <c r="E333" s="111" t="n">
        <f aca="false">D$6</f>
        <v>2025</v>
      </c>
      <c r="F333" s="111" t="n">
        <f aca="false">E333+0.25</f>
        <v>2025.25</v>
      </c>
      <c r="G333" s="126" t="n">
        <f aca="false">'Fleet Build'!E32</f>
        <v>1200</v>
      </c>
      <c r="H333" s="127" t="n">
        <f aca="false">'Fleet Build'!F32</f>
        <v>2025.55</v>
      </c>
      <c r="I333" s="127" t="n">
        <f aca="false">'Fleet Build'!G32</f>
        <v>2099</v>
      </c>
      <c r="J333" s="128" t="n">
        <f aca="false">MAX(0,MIN(F333,I333)-MAX(E333,H333))</f>
        <v>0</v>
      </c>
      <c r="K333" s="129" t="n">
        <f aca="false">G333*J333*'Fleet Build'!$K$58/1000000</f>
        <v>0</v>
      </c>
    </row>
    <row r="334" customFormat="false" ht="15" hidden="false" customHeight="false" outlineLevel="0" collapsed="false">
      <c r="B334" s="125" t="str">
        <f aca="false">'Fleet Build'!B32</f>
        <v>Oceania Allura</v>
      </c>
      <c r="C334" s="125" t="str">
        <f aca="false">'Fleet Build'!C32</f>
        <v>Oceania</v>
      </c>
      <c r="D334" s="9" t="s">
        <v>618</v>
      </c>
      <c r="E334" s="111" t="n">
        <f aca="false">E$6</f>
        <v>2025.25</v>
      </c>
      <c r="F334" s="111" t="n">
        <f aca="false">E334+0.25</f>
        <v>2025.5</v>
      </c>
      <c r="G334" s="126" t="n">
        <f aca="false">'Fleet Build'!E32</f>
        <v>1200</v>
      </c>
      <c r="H334" s="127" t="n">
        <f aca="false">'Fleet Build'!F32</f>
        <v>2025.55</v>
      </c>
      <c r="I334" s="127" t="n">
        <f aca="false">'Fleet Build'!G32</f>
        <v>2099</v>
      </c>
      <c r="J334" s="128" t="n">
        <f aca="false">MAX(0,MIN(F334,I334)-MAX(E334,H334))</f>
        <v>0</v>
      </c>
      <c r="K334" s="129" t="n">
        <f aca="false">G334*J334*'Fleet Build'!$K$58/1000000</f>
        <v>0</v>
      </c>
    </row>
    <row r="335" customFormat="false" ht="15" hidden="false" customHeight="false" outlineLevel="0" collapsed="false">
      <c r="B335" s="125" t="str">
        <f aca="false">'Fleet Build'!B32</f>
        <v>Oceania Allura</v>
      </c>
      <c r="C335" s="125" t="str">
        <f aca="false">'Fleet Build'!C32</f>
        <v>Oceania</v>
      </c>
      <c r="D335" s="9" t="s">
        <v>619</v>
      </c>
      <c r="E335" s="111" t="n">
        <f aca="false">F$6</f>
        <v>2025.5</v>
      </c>
      <c r="F335" s="111" t="n">
        <f aca="false">E335+0.25</f>
        <v>2025.75</v>
      </c>
      <c r="G335" s="126" t="n">
        <f aca="false">'Fleet Build'!E32</f>
        <v>1200</v>
      </c>
      <c r="H335" s="127" t="n">
        <f aca="false">'Fleet Build'!F32</f>
        <v>2025.55</v>
      </c>
      <c r="I335" s="127" t="n">
        <f aca="false">'Fleet Build'!G32</f>
        <v>2099</v>
      </c>
      <c r="J335" s="128" t="n">
        <f aca="false">MAX(0,MIN(F335,I335)-MAX(E335,H335))</f>
        <v>0.200000000000045</v>
      </c>
      <c r="K335" s="129" t="n">
        <f aca="false">G335*J335*'Fleet Build'!$K$58/1000000</f>
        <v>0.08551564908665</v>
      </c>
    </row>
    <row r="336" customFormat="false" ht="15" hidden="false" customHeight="false" outlineLevel="0" collapsed="false">
      <c r="B336" s="125" t="str">
        <f aca="false">'Fleet Build'!B32</f>
        <v>Oceania Allura</v>
      </c>
      <c r="C336" s="125" t="str">
        <f aca="false">'Fleet Build'!C32</f>
        <v>Oceania</v>
      </c>
      <c r="D336" s="9" t="s">
        <v>620</v>
      </c>
      <c r="E336" s="111" t="n">
        <f aca="false">G$6</f>
        <v>2025.75</v>
      </c>
      <c r="F336" s="111" t="n">
        <f aca="false">E336+0.25</f>
        <v>2026</v>
      </c>
      <c r="G336" s="126" t="n">
        <f aca="false">'Fleet Build'!E32</f>
        <v>1200</v>
      </c>
      <c r="H336" s="127" t="n">
        <f aca="false">'Fleet Build'!F32</f>
        <v>2025.55</v>
      </c>
      <c r="I336" s="127" t="n">
        <f aca="false">'Fleet Build'!G32</f>
        <v>2099</v>
      </c>
      <c r="J336" s="128" t="n">
        <f aca="false">MAX(0,MIN(F336,I336)-MAX(E336,H336))</f>
        <v>0.25</v>
      </c>
      <c r="K336" s="129" t="n">
        <f aca="false">G336*J336*'Fleet Build'!$K$58/1000000</f>
        <v>0.106894561358288</v>
      </c>
    </row>
    <row r="337" customFormat="false" ht="15" hidden="false" customHeight="false" outlineLevel="0" collapsed="false">
      <c r="B337" s="125" t="str">
        <f aca="false">'Fleet Build'!B32</f>
        <v>Oceania Allura</v>
      </c>
      <c r="C337" s="125" t="str">
        <f aca="false">'Fleet Build'!C32</f>
        <v>Oceania</v>
      </c>
      <c r="D337" s="9" t="s">
        <v>621</v>
      </c>
      <c r="E337" s="111" t="n">
        <f aca="false">H$6</f>
        <v>2026</v>
      </c>
      <c r="F337" s="111" t="n">
        <f aca="false">E337+0.25</f>
        <v>2026.25</v>
      </c>
      <c r="G337" s="126" t="n">
        <f aca="false">'Fleet Build'!E32</f>
        <v>1200</v>
      </c>
      <c r="H337" s="127" t="n">
        <f aca="false">'Fleet Build'!F32</f>
        <v>2025.55</v>
      </c>
      <c r="I337" s="127" t="n">
        <f aca="false">'Fleet Build'!G32</f>
        <v>2099</v>
      </c>
      <c r="J337" s="128" t="n">
        <f aca="false">MAX(0,MIN(F337,I337)-MAX(E337,H337))</f>
        <v>0.25</v>
      </c>
      <c r="K337" s="129" t="n">
        <f aca="false">G337*J337*'Fleet Build'!$K$58/1000000</f>
        <v>0.106894561358288</v>
      </c>
    </row>
    <row r="338" customFormat="false" ht="15" hidden="false" customHeight="false" outlineLevel="0" collapsed="false">
      <c r="B338" s="125" t="str">
        <f aca="false">'Fleet Build'!B32</f>
        <v>Oceania Allura</v>
      </c>
      <c r="C338" s="125" t="str">
        <f aca="false">'Fleet Build'!C32</f>
        <v>Oceania</v>
      </c>
      <c r="D338" s="9" t="s">
        <v>622</v>
      </c>
      <c r="E338" s="111" t="n">
        <f aca="false">I$6</f>
        <v>2026.25</v>
      </c>
      <c r="F338" s="111" t="n">
        <f aca="false">E338+0.25</f>
        <v>2026.5</v>
      </c>
      <c r="G338" s="126" t="n">
        <f aca="false">'Fleet Build'!E32</f>
        <v>1200</v>
      </c>
      <c r="H338" s="127" t="n">
        <f aca="false">'Fleet Build'!F32</f>
        <v>2025.55</v>
      </c>
      <c r="I338" s="127" t="n">
        <f aca="false">'Fleet Build'!G32</f>
        <v>2099</v>
      </c>
      <c r="J338" s="128" t="n">
        <f aca="false">MAX(0,MIN(F338,I338)-MAX(E338,H338))</f>
        <v>0.25</v>
      </c>
      <c r="K338" s="129" t="n">
        <f aca="false">G338*J338*'Fleet Build'!$K$58/1000000</f>
        <v>0.106894561358288</v>
      </c>
    </row>
    <row r="339" customFormat="false" ht="15" hidden="false" customHeight="false" outlineLevel="0" collapsed="false">
      <c r="B339" s="125" t="str">
        <f aca="false">'Fleet Build'!B32</f>
        <v>Oceania Allura</v>
      </c>
      <c r="C339" s="125" t="str">
        <f aca="false">'Fleet Build'!C32</f>
        <v>Oceania</v>
      </c>
      <c r="D339" s="9" t="s">
        <v>200</v>
      </c>
      <c r="E339" s="111" t="n">
        <f aca="false">J$6</f>
        <v>2026.5</v>
      </c>
      <c r="F339" s="111" t="n">
        <f aca="false">E339+0.25</f>
        <v>2026.75</v>
      </c>
      <c r="G339" s="126" t="n">
        <f aca="false">'Fleet Build'!E32</f>
        <v>1200</v>
      </c>
      <c r="H339" s="127" t="n">
        <f aca="false">'Fleet Build'!F32</f>
        <v>2025.55</v>
      </c>
      <c r="I339" s="127" t="n">
        <f aca="false">'Fleet Build'!G32</f>
        <v>2099</v>
      </c>
      <c r="J339" s="128" t="n">
        <f aca="false">MAX(0,MIN(F339,I339)-MAX(E339,H339))</f>
        <v>0.25</v>
      </c>
      <c r="K339" s="129" t="n">
        <f aca="false">G339*J339*'Fleet Build'!$K$58/1000000</f>
        <v>0.106894561358288</v>
      </c>
    </row>
    <row r="340" customFormat="false" ht="15" hidden="false" customHeight="false" outlineLevel="0" collapsed="false">
      <c r="B340" s="125" t="str">
        <f aca="false">'Fleet Build'!B32</f>
        <v>Oceania Allura</v>
      </c>
      <c r="C340" s="125" t="str">
        <f aca="false">'Fleet Build'!C32</f>
        <v>Oceania</v>
      </c>
      <c r="D340" s="9" t="s">
        <v>201</v>
      </c>
      <c r="E340" s="111" t="n">
        <f aca="false">K$6</f>
        <v>2026.75</v>
      </c>
      <c r="F340" s="111" t="n">
        <f aca="false">E340+0.25</f>
        <v>2027</v>
      </c>
      <c r="G340" s="126" t="n">
        <f aca="false">'Fleet Build'!E32</f>
        <v>1200</v>
      </c>
      <c r="H340" s="127" t="n">
        <f aca="false">'Fleet Build'!F32</f>
        <v>2025.55</v>
      </c>
      <c r="I340" s="127" t="n">
        <f aca="false">'Fleet Build'!G32</f>
        <v>2099</v>
      </c>
      <c r="J340" s="128" t="n">
        <f aca="false">MAX(0,MIN(F340,I340)-MAX(E340,H340))</f>
        <v>0.25</v>
      </c>
      <c r="K340" s="129" t="n">
        <f aca="false">G340*J340*'Fleet Build'!$K$58/1000000</f>
        <v>0.106894561358288</v>
      </c>
    </row>
    <row r="341" customFormat="false" ht="15" hidden="false" customHeight="false" outlineLevel="0" collapsed="false">
      <c r="B341" s="125" t="str">
        <f aca="false">'Fleet Build'!B32</f>
        <v>Oceania Allura</v>
      </c>
      <c r="C341" s="125" t="str">
        <f aca="false">'Fleet Build'!C32</f>
        <v>Oceania</v>
      </c>
      <c r="D341" s="9" t="s">
        <v>202</v>
      </c>
      <c r="E341" s="111" t="n">
        <f aca="false">L$6</f>
        <v>2027</v>
      </c>
      <c r="F341" s="111" t="n">
        <f aca="false">E341+0.25</f>
        <v>2027.25</v>
      </c>
      <c r="G341" s="126" t="n">
        <f aca="false">'Fleet Build'!E32</f>
        <v>1200</v>
      </c>
      <c r="H341" s="127" t="n">
        <f aca="false">'Fleet Build'!F32</f>
        <v>2025.55</v>
      </c>
      <c r="I341" s="127" t="n">
        <f aca="false">'Fleet Build'!G32</f>
        <v>2099</v>
      </c>
      <c r="J341" s="128" t="n">
        <f aca="false">MAX(0,MIN(F341,I341)-MAX(E341,H341))</f>
        <v>0.25</v>
      </c>
      <c r="K341" s="129" t="n">
        <f aca="false">G341*J341*'Fleet Build'!$K$58/1000000</f>
        <v>0.106894561358288</v>
      </c>
    </row>
    <row r="342" customFormat="false" ht="15" hidden="false" customHeight="false" outlineLevel="0" collapsed="false">
      <c r="B342" s="125" t="str">
        <f aca="false">'Fleet Build'!B32</f>
        <v>Oceania Allura</v>
      </c>
      <c r="C342" s="125" t="str">
        <f aca="false">'Fleet Build'!C32</f>
        <v>Oceania</v>
      </c>
      <c r="D342" s="9" t="s">
        <v>203</v>
      </c>
      <c r="E342" s="111" t="n">
        <f aca="false">M$6</f>
        <v>2027.25</v>
      </c>
      <c r="F342" s="111" t="n">
        <f aca="false">E342+0.25</f>
        <v>2027.5</v>
      </c>
      <c r="G342" s="126" t="n">
        <f aca="false">'Fleet Build'!E32</f>
        <v>1200</v>
      </c>
      <c r="H342" s="127" t="n">
        <f aca="false">'Fleet Build'!F32</f>
        <v>2025.55</v>
      </c>
      <c r="I342" s="127" t="n">
        <f aca="false">'Fleet Build'!G32</f>
        <v>2099</v>
      </c>
      <c r="J342" s="128" t="n">
        <f aca="false">MAX(0,MIN(F342,I342)-MAX(E342,H342))</f>
        <v>0.25</v>
      </c>
      <c r="K342" s="129" t="n">
        <f aca="false">G342*J342*'Fleet Build'!$K$58/1000000</f>
        <v>0.106894561358288</v>
      </c>
    </row>
    <row r="343" customFormat="false" ht="15" hidden="false" customHeight="false" outlineLevel="0" collapsed="false">
      <c r="B343" s="125" t="str">
        <f aca="false">'Fleet Build'!B32</f>
        <v>Oceania Allura</v>
      </c>
      <c r="C343" s="125" t="str">
        <f aca="false">'Fleet Build'!C32</f>
        <v>Oceania</v>
      </c>
      <c r="D343" s="9" t="s">
        <v>204</v>
      </c>
      <c r="E343" s="111" t="n">
        <f aca="false">N$6</f>
        <v>2027.5</v>
      </c>
      <c r="F343" s="111" t="n">
        <f aca="false">E343+0.25</f>
        <v>2027.75</v>
      </c>
      <c r="G343" s="126" t="n">
        <f aca="false">'Fleet Build'!E32</f>
        <v>1200</v>
      </c>
      <c r="H343" s="127" t="n">
        <f aca="false">'Fleet Build'!F32</f>
        <v>2025.55</v>
      </c>
      <c r="I343" s="127" t="n">
        <f aca="false">'Fleet Build'!G32</f>
        <v>2099</v>
      </c>
      <c r="J343" s="128" t="n">
        <f aca="false">MAX(0,MIN(F343,I343)-MAX(E343,H343))</f>
        <v>0.25</v>
      </c>
      <c r="K343" s="129" t="n">
        <f aca="false">G343*J343*'Fleet Build'!$K$58/1000000</f>
        <v>0.106894561358288</v>
      </c>
    </row>
    <row r="344" customFormat="false" ht="15" hidden="false" customHeight="false" outlineLevel="0" collapsed="false">
      <c r="B344" s="125" t="str">
        <f aca="false">'Fleet Build'!B32</f>
        <v>Oceania Allura</v>
      </c>
      <c r="C344" s="125" t="str">
        <f aca="false">'Fleet Build'!C32</f>
        <v>Oceania</v>
      </c>
      <c r="D344" s="9" t="s">
        <v>205</v>
      </c>
      <c r="E344" s="111" t="n">
        <f aca="false">O$6</f>
        <v>2027.75</v>
      </c>
      <c r="F344" s="111" t="n">
        <f aca="false">E344+0.25</f>
        <v>2028</v>
      </c>
      <c r="G344" s="126" t="n">
        <f aca="false">'Fleet Build'!E32</f>
        <v>1200</v>
      </c>
      <c r="H344" s="127" t="n">
        <f aca="false">'Fleet Build'!F32</f>
        <v>2025.55</v>
      </c>
      <c r="I344" s="127" t="n">
        <f aca="false">'Fleet Build'!G32</f>
        <v>2099</v>
      </c>
      <c r="J344" s="128" t="n">
        <f aca="false">MAX(0,MIN(F344,I344)-MAX(E344,H344))</f>
        <v>0.25</v>
      </c>
      <c r="K344" s="129" t="n">
        <f aca="false">G344*J344*'Fleet Build'!$K$58/1000000</f>
        <v>0.106894561358288</v>
      </c>
    </row>
    <row r="345" customFormat="false" ht="15" hidden="false" customHeight="false" outlineLevel="0" collapsed="false">
      <c r="B345" s="125" t="str">
        <f aca="false">'Fleet Build'!B33</f>
        <v>Oceania Vista</v>
      </c>
      <c r="C345" s="125" t="str">
        <f aca="false">'Fleet Build'!C33</f>
        <v>Oceania</v>
      </c>
      <c r="D345" s="9" t="s">
        <v>617</v>
      </c>
      <c r="E345" s="111" t="n">
        <f aca="false">D$6</f>
        <v>2025</v>
      </c>
      <c r="F345" s="111" t="n">
        <f aca="false">E345+0.25</f>
        <v>2025.25</v>
      </c>
      <c r="G345" s="126" t="n">
        <f aca="false">'Fleet Build'!E33</f>
        <v>1187.14668253496</v>
      </c>
      <c r="H345" s="127" t="n">
        <f aca="false">'Fleet Build'!F33</f>
        <v>2000</v>
      </c>
      <c r="I345" s="127" t="n">
        <f aca="false">'Fleet Build'!G33</f>
        <v>2099</v>
      </c>
      <c r="J345" s="128" t="n">
        <f aca="false">MAX(0,MIN(F345,I345)-MAX(E345,H345))</f>
        <v>0.25</v>
      </c>
      <c r="K345" s="129" t="n">
        <f aca="false">G345*J345*'Fleet Build'!$K$58/1000000</f>
        <v>0.105749603247935</v>
      </c>
    </row>
    <row r="346" customFormat="false" ht="15" hidden="false" customHeight="false" outlineLevel="0" collapsed="false">
      <c r="B346" s="125" t="str">
        <f aca="false">'Fleet Build'!B33</f>
        <v>Oceania Vista</v>
      </c>
      <c r="C346" s="125" t="str">
        <f aca="false">'Fleet Build'!C33</f>
        <v>Oceania</v>
      </c>
      <c r="D346" s="9" t="s">
        <v>618</v>
      </c>
      <c r="E346" s="111" t="n">
        <f aca="false">E$6</f>
        <v>2025.25</v>
      </c>
      <c r="F346" s="111" t="n">
        <f aca="false">E346+0.25</f>
        <v>2025.5</v>
      </c>
      <c r="G346" s="126" t="n">
        <f aca="false">'Fleet Build'!E33</f>
        <v>1187.14668253496</v>
      </c>
      <c r="H346" s="127" t="n">
        <f aca="false">'Fleet Build'!F33</f>
        <v>2000</v>
      </c>
      <c r="I346" s="127" t="n">
        <f aca="false">'Fleet Build'!G33</f>
        <v>2099</v>
      </c>
      <c r="J346" s="128" t="n">
        <f aca="false">MAX(0,MIN(F346,I346)-MAX(E346,H346))</f>
        <v>0.25</v>
      </c>
      <c r="K346" s="129" t="n">
        <f aca="false">G346*J346*'Fleet Build'!$K$58/1000000</f>
        <v>0.105749603247935</v>
      </c>
    </row>
    <row r="347" customFormat="false" ht="15" hidden="false" customHeight="false" outlineLevel="0" collapsed="false">
      <c r="B347" s="125" t="str">
        <f aca="false">'Fleet Build'!B33</f>
        <v>Oceania Vista</v>
      </c>
      <c r="C347" s="125" t="str">
        <f aca="false">'Fleet Build'!C33</f>
        <v>Oceania</v>
      </c>
      <c r="D347" s="9" t="s">
        <v>619</v>
      </c>
      <c r="E347" s="111" t="n">
        <f aca="false">F$6</f>
        <v>2025.5</v>
      </c>
      <c r="F347" s="111" t="n">
        <f aca="false">E347+0.25</f>
        <v>2025.75</v>
      </c>
      <c r="G347" s="126" t="n">
        <f aca="false">'Fleet Build'!E33</f>
        <v>1187.14668253496</v>
      </c>
      <c r="H347" s="127" t="n">
        <f aca="false">'Fleet Build'!F33</f>
        <v>2000</v>
      </c>
      <c r="I347" s="127" t="n">
        <f aca="false">'Fleet Build'!G33</f>
        <v>2099</v>
      </c>
      <c r="J347" s="128" t="n">
        <f aca="false">MAX(0,MIN(F347,I347)-MAX(E347,H347))</f>
        <v>0.25</v>
      </c>
      <c r="K347" s="129" t="n">
        <f aca="false">G347*J347*'Fleet Build'!$K$58/1000000</f>
        <v>0.105749603247935</v>
      </c>
    </row>
    <row r="348" customFormat="false" ht="15" hidden="false" customHeight="false" outlineLevel="0" collapsed="false">
      <c r="B348" s="125" t="str">
        <f aca="false">'Fleet Build'!B33</f>
        <v>Oceania Vista</v>
      </c>
      <c r="C348" s="125" t="str">
        <f aca="false">'Fleet Build'!C33</f>
        <v>Oceania</v>
      </c>
      <c r="D348" s="9" t="s">
        <v>620</v>
      </c>
      <c r="E348" s="111" t="n">
        <f aca="false">G$6</f>
        <v>2025.75</v>
      </c>
      <c r="F348" s="111" t="n">
        <f aca="false">E348+0.25</f>
        <v>2026</v>
      </c>
      <c r="G348" s="126" t="n">
        <f aca="false">'Fleet Build'!E33</f>
        <v>1187.14668253496</v>
      </c>
      <c r="H348" s="127" t="n">
        <f aca="false">'Fleet Build'!F33</f>
        <v>2000</v>
      </c>
      <c r="I348" s="127" t="n">
        <f aca="false">'Fleet Build'!G33</f>
        <v>2099</v>
      </c>
      <c r="J348" s="128" t="n">
        <f aca="false">MAX(0,MIN(F348,I348)-MAX(E348,H348))</f>
        <v>0.25</v>
      </c>
      <c r="K348" s="129" t="n">
        <f aca="false">G348*J348*'Fleet Build'!$K$58/1000000</f>
        <v>0.105749603247935</v>
      </c>
    </row>
    <row r="349" customFormat="false" ht="15" hidden="false" customHeight="false" outlineLevel="0" collapsed="false">
      <c r="B349" s="125" t="str">
        <f aca="false">'Fleet Build'!B33</f>
        <v>Oceania Vista</v>
      </c>
      <c r="C349" s="125" t="str">
        <f aca="false">'Fleet Build'!C33</f>
        <v>Oceania</v>
      </c>
      <c r="D349" s="9" t="s">
        <v>621</v>
      </c>
      <c r="E349" s="111" t="n">
        <f aca="false">H$6</f>
        <v>2026</v>
      </c>
      <c r="F349" s="111" t="n">
        <f aca="false">E349+0.25</f>
        <v>2026.25</v>
      </c>
      <c r="G349" s="126" t="n">
        <f aca="false">'Fleet Build'!E33</f>
        <v>1187.14668253496</v>
      </c>
      <c r="H349" s="127" t="n">
        <f aca="false">'Fleet Build'!F33</f>
        <v>2000</v>
      </c>
      <c r="I349" s="127" t="n">
        <f aca="false">'Fleet Build'!G33</f>
        <v>2099</v>
      </c>
      <c r="J349" s="128" t="n">
        <f aca="false">MAX(0,MIN(F349,I349)-MAX(E349,H349))</f>
        <v>0.25</v>
      </c>
      <c r="K349" s="129" t="n">
        <f aca="false">G349*J349*'Fleet Build'!$K$58/1000000</f>
        <v>0.105749603247935</v>
      </c>
    </row>
    <row r="350" customFormat="false" ht="15" hidden="false" customHeight="false" outlineLevel="0" collapsed="false">
      <c r="B350" s="125" t="str">
        <f aca="false">'Fleet Build'!B33</f>
        <v>Oceania Vista</v>
      </c>
      <c r="C350" s="125" t="str">
        <f aca="false">'Fleet Build'!C33</f>
        <v>Oceania</v>
      </c>
      <c r="D350" s="9" t="s">
        <v>622</v>
      </c>
      <c r="E350" s="111" t="n">
        <f aca="false">I$6</f>
        <v>2026.25</v>
      </c>
      <c r="F350" s="111" t="n">
        <f aca="false">E350+0.25</f>
        <v>2026.5</v>
      </c>
      <c r="G350" s="126" t="n">
        <f aca="false">'Fleet Build'!E33</f>
        <v>1187.14668253496</v>
      </c>
      <c r="H350" s="127" t="n">
        <f aca="false">'Fleet Build'!F33</f>
        <v>2000</v>
      </c>
      <c r="I350" s="127" t="n">
        <f aca="false">'Fleet Build'!G33</f>
        <v>2099</v>
      </c>
      <c r="J350" s="128" t="n">
        <f aca="false">MAX(0,MIN(F350,I350)-MAX(E350,H350))</f>
        <v>0.25</v>
      </c>
      <c r="K350" s="129" t="n">
        <f aca="false">G350*J350*'Fleet Build'!$K$58/1000000</f>
        <v>0.105749603247935</v>
      </c>
    </row>
    <row r="351" customFormat="false" ht="15" hidden="false" customHeight="false" outlineLevel="0" collapsed="false">
      <c r="B351" s="125" t="str">
        <f aca="false">'Fleet Build'!B33</f>
        <v>Oceania Vista</v>
      </c>
      <c r="C351" s="125" t="str">
        <f aca="false">'Fleet Build'!C33</f>
        <v>Oceania</v>
      </c>
      <c r="D351" s="9" t="s">
        <v>200</v>
      </c>
      <c r="E351" s="111" t="n">
        <f aca="false">J$6</f>
        <v>2026.5</v>
      </c>
      <c r="F351" s="111" t="n">
        <f aca="false">E351+0.25</f>
        <v>2026.75</v>
      </c>
      <c r="G351" s="126" t="n">
        <f aca="false">'Fleet Build'!E33</f>
        <v>1187.14668253496</v>
      </c>
      <c r="H351" s="127" t="n">
        <f aca="false">'Fleet Build'!F33</f>
        <v>2000</v>
      </c>
      <c r="I351" s="127" t="n">
        <f aca="false">'Fleet Build'!G33</f>
        <v>2099</v>
      </c>
      <c r="J351" s="128" t="n">
        <f aca="false">MAX(0,MIN(F351,I351)-MAX(E351,H351))</f>
        <v>0.25</v>
      </c>
      <c r="K351" s="129" t="n">
        <f aca="false">G351*J351*'Fleet Build'!$K$58/1000000</f>
        <v>0.105749603247935</v>
      </c>
    </row>
    <row r="352" customFormat="false" ht="15" hidden="false" customHeight="false" outlineLevel="0" collapsed="false">
      <c r="B352" s="125" t="str">
        <f aca="false">'Fleet Build'!B33</f>
        <v>Oceania Vista</v>
      </c>
      <c r="C352" s="125" t="str">
        <f aca="false">'Fleet Build'!C33</f>
        <v>Oceania</v>
      </c>
      <c r="D352" s="9" t="s">
        <v>201</v>
      </c>
      <c r="E352" s="111" t="n">
        <f aca="false">K$6</f>
        <v>2026.75</v>
      </c>
      <c r="F352" s="111" t="n">
        <f aca="false">E352+0.25</f>
        <v>2027</v>
      </c>
      <c r="G352" s="126" t="n">
        <f aca="false">'Fleet Build'!E33</f>
        <v>1187.14668253496</v>
      </c>
      <c r="H352" s="127" t="n">
        <f aca="false">'Fleet Build'!F33</f>
        <v>2000</v>
      </c>
      <c r="I352" s="127" t="n">
        <f aca="false">'Fleet Build'!G33</f>
        <v>2099</v>
      </c>
      <c r="J352" s="128" t="n">
        <f aca="false">MAX(0,MIN(F352,I352)-MAX(E352,H352))</f>
        <v>0.25</v>
      </c>
      <c r="K352" s="129" t="n">
        <f aca="false">G352*J352*'Fleet Build'!$K$58/1000000</f>
        <v>0.105749603247935</v>
      </c>
    </row>
    <row r="353" customFormat="false" ht="15" hidden="false" customHeight="false" outlineLevel="0" collapsed="false">
      <c r="B353" s="125" t="str">
        <f aca="false">'Fleet Build'!B33</f>
        <v>Oceania Vista</v>
      </c>
      <c r="C353" s="125" t="str">
        <f aca="false">'Fleet Build'!C33</f>
        <v>Oceania</v>
      </c>
      <c r="D353" s="9" t="s">
        <v>202</v>
      </c>
      <c r="E353" s="111" t="n">
        <f aca="false">L$6</f>
        <v>2027</v>
      </c>
      <c r="F353" s="111" t="n">
        <f aca="false">E353+0.25</f>
        <v>2027.25</v>
      </c>
      <c r="G353" s="126" t="n">
        <f aca="false">'Fleet Build'!E33</f>
        <v>1187.14668253496</v>
      </c>
      <c r="H353" s="127" t="n">
        <f aca="false">'Fleet Build'!F33</f>
        <v>2000</v>
      </c>
      <c r="I353" s="127" t="n">
        <f aca="false">'Fleet Build'!G33</f>
        <v>2099</v>
      </c>
      <c r="J353" s="128" t="n">
        <f aca="false">MAX(0,MIN(F353,I353)-MAX(E353,H353))</f>
        <v>0.25</v>
      </c>
      <c r="K353" s="129" t="n">
        <f aca="false">G353*J353*'Fleet Build'!$K$58/1000000</f>
        <v>0.105749603247935</v>
      </c>
    </row>
    <row r="354" customFormat="false" ht="15" hidden="false" customHeight="false" outlineLevel="0" collapsed="false">
      <c r="B354" s="125" t="str">
        <f aca="false">'Fleet Build'!B33</f>
        <v>Oceania Vista</v>
      </c>
      <c r="C354" s="125" t="str">
        <f aca="false">'Fleet Build'!C33</f>
        <v>Oceania</v>
      </c>
      <c r="D354" s="9" t="s">
        <v>203</v>
      </c>
      <c r="E354" s="111" t="n">
        <f aca="false">M$6</f>
        <v>2027.25</v>
      </c>
      <c r="F354" s="111" t="n">
        <f aca="false">E354+0.25</f>
        <v>2027.5</v>
      </c>
      <c r="G354" s="126" t="n">
        <f aca="false">'Fleet Build'!E33</f>
        <v>1187.14668253496</v>
      </c>
      <c r="H354" s="127" t="n">
        <f aca="false">'Fleet Build'!F33</f>
        <v>2000</v>
      </c>
      <c r="I354" s="127" t="n">
        <f aca="false">'Fleet Build'!G33</f>
        <v>2099</v>
      </c>
      <c r="J354" s="128" t="n">
        <f aca="false">MAX(0,MIN(F354,I354)-MAX(E354,H354))</f>
        <v>0.25</v>
      </c>
      <c r="K354" s="129" t="n">
        <f aca="false">G354*J354*'Fleet Build'!$K$58/1000000</f>
        <v>0.105749603247935</v>
      </c>
    </row>
    <row r="355" customFormat="false" ht="15" hidden="false" customHeight="false" outlineLevel="0" collapsed="false">
      <c r="B355" s="125" t="str">
        <f aca="false">'Fleet Build'!B33</f>
        <v>Oceania Vista</v>
      </c>
      <c r="C355" s="125" t="str">
        <f aca="false">'Fleet Build'!C33</f>
        <v>Oceania</v>
      </c>
      <c r="D355" s="9" t="s">
        <v>204</v>
      </c>
      <c r="E355" s="111" t="n">
        <f aca="false">N$6</f>
        <v>2027.5</v>
      </c>
      <c r="F355" s="111" t="n">
        <f aca="false">E355+0.25</f>
        <v>2027.75</v>
      </c>
      <c r="G355" s="126" t="n">
        <f aca="false">'Fleet Build'!E33</f>
        <v>1187.14668253496</v>
      </c>
      <c r="H355" s="127" t="n">
        <f aca="false">'Fleet Build'!F33</f>
        <v>2000</v>
      </c>
      <c r="I355" s="127" t="n">
        <f aca="false">'Fleet Build'!G33</f>
        <v>2099</v>
      </c>
      <c r="J355" s="128" t="n">
        <f aca="false">MAX(0,MIN(F355,I355)-MAX(E355,H355))</f>
        <v>0.25</v>
      </c>
      <c r="K355" s="129" t="n">
        <f aca="false">G355*J355*'Fleet Build'!$K$58/1000000</f>
        <v>0.105749603247935</v>
      </c>
    </row>
    <row r="356" customFormat="false" ht="15" hidden="false" customHeight="false" outlineLevel="0" collapsed="false">
      <c r="B356" s="125" t="str">
        <f aca="false">'Fleet Build'!B33</f>
        <v>Oceania Vista</v>
      </c>
      <c r="C356" s="125" t="str">
        <f aca="false">'Fleet Build'!C33</f>
        <v>Oceania</v>
      </c>
      <c r="D356" s="9" t="s">
        <v>205</v>
      </c>
      <c r="E356" s="111" t="n">
        <f aca="false">O$6</f>
        <v>2027.75</v>
      </c>
      <c r="F356" s="111" t="n">
        <f aca="false">E356+0.25</f>
        <v>2028</v>
      </c>
      <c r="G356" s="126" t="n">
        <f aca="false">'Fleet Build'!E33</f>
        <v>1187.14668253496</v>
      </c>
      <c r="H356" s="127" t="n">
        <f aca="false">'Fleet Build'!F33</f>
        <v>2000</v>
      </c>
      <c r="I356" s="127" t="n">
        <f aca="false">'Fleet Build'!G33</f>
        <v>2099</v>
      </c>
      <c r="J356" s="128" t="n">
        <f aca="false">MAX(0,MIN(F356,I356)-MAX(E356,H356))</f>
        <v>0.25</v>
      </c>
      <c r="K356" s="129" t="n">
        <f aca="false">G356*J356*'Fleet Build'!$K$58/1000000</f>
        <v>0.105749603247935</v>
      </c>
    </row>
    <row r="357" customFormat="false" ht="15" hidden="false" customHeight="false" outlineLevel="0" collapsed="false">
      <c r="B357" s="125" t="str">
        <f aca="false">'Fleet Build'!B34</f>
        <v>Oceania Riviera</v>
      </c>
      <c r="C357" s="125" t="str">
        <f aca="false">'Fleet Build'!C34</f>
        <v>Oceania</v>
      </c>
      <c r="D357" s="9" t="s">
        <v>617</v>
      </c>
      <c r="E357" s="111" t="n">
        <f aca="false">D$6</f>
        <v>2025</v>
      </c>
      <c r="F357" s="111" t="n">
        <f aca="false">E357+0.25</f>
        <v>2025.25</v>
      </c>
      <c r="G357" s="126" t="n">
        <f aca="false">'Fleet Build'!E34</f>
        <v>1236.61112764058</v>
      </c>
      <c r="H357" s="127" t="n">
        <f aca="false">'Fleet Build'!F34</f>
        <v>2000</v>
      </c>
      <c r="I357" s="127" t="n">
        <f aca="false">'Fleet Build'!G34</f>
        <v>2099</v>
      </c>
      <c r="J357" s="128" t="n">
        <f aca="false">MAX(0,MIN(F357,I357)-MAX(E357,H357))</f>
        <v>0.25</v>
      </c>
      <c r="K357" s="129" t="n">
        <f aca="false">G357*J357*'Fleet Build'!$K$58/1000000</f>
        <v>0.110155836716599</v>
      </c>
    </row>
    <row r="358" customFormat="false" ht="15" hidden="false" customHeight="false" outlineLevel="0" collapsed="false">
      <c r="B358" s="125" t="str">
        <f aca="false">'Fleet Build'!B34</f>
        <v>Oceania Riviera</v>
      </c>
      <c r="C358" s="125" t="str">
        <f aca="false">'Fleet Build'!C34</f>
        <v>Oceania</v>
      </c>
      <c r="D358" s="9" t="s">
        <v>618</v>
      </c>
      <c r="E358" s="111" t="n">
        <f aca="false">E$6</f>
        <v>2025.25</v>
      </c>
      <c r="F358" s="111" t="n">
        <f aca="false">E358+0.25</f>
        <v>2025.5</v>
      </c>
      <c r="G358" s="126" t="n">
        <f aca="false">'Fleet Build'!E34</f>
        <v>1236.61112764058</v>
      </c>
      <c r="H358" s="127" t="n">
        <f aca="false">'Fleet Build'!F34</f>
        <v>2000</v>
      </c>
      <c r="I358" s="127" t="n">
        <f aca="false">'Fleet Build'!G34</f>
        <v>2099</v>
      </c>
      <c r="J358" s="128" t="n">
        <f aca="false">MAX(0,MIN(F358,I358)-MAX(E358,H358))</f>
        <v>0.25</v>
      </c>
      <c r="K358" s="129" t="n">
        <f aca="false">G358*J358*'Fleet Build'!$K$58/1000000</f>
        <v>0.110155836716599</v>
      </c>
    </row>
    <row r="359" customFormat="false" ht="15" hidden="false" customHeight="false" outlineLevel="0" collapsed="false">
      <c r="B359" s="125" t="str">
        <f aca="false">'Fleet Build'!B34</f>
        <v>Oceania Riviera</v>
      </c>
      <c r="C359" s="125" t="str">
        <f aca="false">'Fleet Build'!C34</f>
        <v>Oceania</v>
      </c>
      <c r="D359" s="9" t="s">
        <v>619</v>
      </c>
      <c r="E359" s="111" t="n">
        <f aca="false">F$6</f>
        <v>2025.5</v>
      </c>
      <c r="F359" s="111" t="n">
        <f aca="false">E359+0.25</f>
        <v>2025.75</v>
      </c>
      <c r="G359" s="126" t="n">
        <f aca="false">'Fleet Build'!E34</f>
        <v>1236.61112764058</v>
      </c>
      <c r="H359" s="127" t="n">
        <f aca="false">'Fleet Build'!F34</f>
        <v>2000</v>
      </c>
      <c r="I359" s="127" t="n">
        <f aca="false">'Fleet Build'!G34</f>
        <v>2099</v>
      </c>
      <c r="J359" s="128" t="n">
        <f aca="false">MAX(0,MIN(F359,I359)-MAX(E359,H359))</f>
        <v>0.25</v>
      </c>
      <c r="K359" s="129" t="n">
        <f aca="false">G359*J359*'Fleet Build'!$K$58/1000000</f>
        <v>0.110155836716599</v>
      </c>
    </row>
    <row r="360" customFormat="false" ht="15" hidden="false" customHeight="false" outlineLevel="0" collapsed="false">
      <c r="B360" s="125" t="str">
        <f aca="false">'Fleet Build'!B34</f>
        <v>Oceania Riviera</v>
      </c>
      <c r="C360" s="125" t="str">
        <f aca="false">'Fleet Build'!C34</f>
        <v>Oceania</v>
      </c>
      <c r="D360" s="9" t="s">
        <v>620</v>
      </c>
      <c r="E360" s="111" t="n">
        <f aca="false">G$6</f>
        <v>2025.75</v>
      </c>
      <c r="F360" s="111" t="n">
        <f aca="false">E360+0.25</f>
        <v>2026</v>
      </c>
      <c r="G360" s="126" t="n">
        <f aca="false">'Fleet Build'!E34</f>
        <v>1236.61112764058</v>
      </c>
      <c r="H360" s="127" t="n">
        <f aca="false">'Fleet Build'!F34</f>
        <v>2000</v>
      </c>
      <c r="I360" s="127" t="n">
        <f aca="false">'Fleet Build'!G34</f>
        <v>2099</v>
      </c>
      <c r="J360" s="128" t="n">
        <f aca="false">MAX(0,MIN(F360,I360)-MAX(E360,H360))</f>
        <v>0.25</v>
      </c>
      <c r="K360" s="129" t="n">
        <f aca="false">G360*J360*'Fleet Build'!$K$58/1000000</f>
        <v>0.110155836716599</v>
      </c>
    </row>
    <row r="361" customFormat="false" ht="15" hidden="false" customHeight="false" outlineLevel="0" collapsed="false">
      <c r="B361" s="125" t="str">
        <f aca="false">'Fleet Build'!B34</f>
        <v>Oceania Riviera</v>
      </c>
      <c r="C361" s="125" t="str">
        <f aca="false">'Fleet Build'!C34</f>
        <v>Oceania</v>
      </c>
      <c r="D361" s="9" t="s">
        <v>621</v>
      </c>
      <c r="E361" s="111" t="n">
        <f aca="false">H$6</f>
        <v>2026</v>
      </c>
      <c r="F361" s="111" t="n">
        <f aca="false">E361+0.25</f>
        <v>2026.25</v>
      </c>
      <c r="G361" s="126" t="n">
        <f aca="false">'Fleet Build'!E34</f>
        <v>1236.61112764058</v>
      </c>
      <c r="H361" s="127" t="n">
        <f aca="false">'Fleet Build'!F34</f>
        <v>2000</v>
      </c>
      <c r="I361" s="127" t="n">
        <f aca="false">'Fleet Build'!G34</f>
        <v>2099</v>
      </c>
      <c r="J361" s="128" t="n">
        <f aca="false">MAX(0,MIN(F361,I361)-MAX(E361,H361))</f>
        <v>0.25</v>
      </c>
      <c r="K361" s="129" t="n">
        <f aca="false">G361*J361*'Fleet Build'!$K$58/1000000</f>
        <v>0.110155836716599</v>
      </c>
    </row>
    <row r="362" customFormat="false" ht="15" hidden="false" customHeight="false" outlineLevel="0" collapsed="false">
      <c r="B362" s="125" t="str">
        <f aca="false">'Fleet Build'!B34</f>
        <v>Oceania Riviera</v>
      </c>
      <c r="C362" s="125" t="str">
        <f aca="false">'Fleet Build'!C34</f>
        <v>Oceania</v>
      </c>
      <c r="D362" s="9" t="s">
        <v>622</v>
      </c>
      <c r="E362" s="111" t="n">
        <f aca="false">I$6</f>
        <v>2026.25</v>
      </c>
      <c r="F362" s="111" t="n">
        <f aca="false">E362+0.25</f>
        <v>2026.5</v>
      </c>
      <c r="G362" s="126" t="n">
        <f aca="false">'Fleet Build'!E34</f>
        <v>1236.61112764058</v>
      </c>
      <c r="H362" s="127" t="n">
        <f aca="false">'Fleet Build'!F34</f>
        <v>2000</v>
      </c>
      <c r="I362" s="127" t="n">
        <f aca="false">'Fleet Build'!G34</f>
        <v>2099</v>
      </c>
      <c r="J362" s="128" t="n">
        <f aca="false">MAX(0,MIN(F362,I362)-MAX(E362,H362))</f>
        <v>0.25</v>
      </c>
      <c r="K362" s="129" t="n">
        <f aca="false">G362*J362*'Fleet Build'!$K$58/1000000</f>
        <v>0.110155836716599</v>
      </c>
    </row>
    <row r="363" customFormat="false" ht="15" hidden="false" customHeight="false" outlineLevel="0" collapsed="false">
      <c r="B363" s="125" t="str">
        <f aca="false">'Fleet Build'!B34</f>
        <v>Oceania Riviera</v>
      </c>
      <c r="C363" s="125" t="str">
        <f aca="false">'Fleet Build'!C34</f>
        <v>Oceania</v>
      </c>
      <c r="D363" s="9" t="s">
        <v>200</v>
      </c>
      <c r="E363" s="111" t="n">
        <f aca="false">J$6</f>
        <v>2026.5</v>
      </c>
      <c r="F363" s="111" t="n">
        <f aca="false">E363+0.25</f>
        <v>2026.75</v>
      </c>
      <c r="G363" s="126" t="n">
        <f aca="false">'Fleet Build'!E34</f>
        <v>1236.61112764058</v>
      </c>
      <c r="H363" s="127" t="n">
        <f aca="false">'Fleet Build'!F34</f>
        <v>2000</v>
      </c>
      <c r="I363" s="127" t="n">
        <f aca="false">'Fleet Build'!G34</f>
        <v>2099</v>
      </c>
      <c r="J363" s="128" t="n">
        <f aca="false">MAX(0,MIN(F363,I363)-MAX(E363,H363))</f>
        <v>0.25</v>
      </c>
      <c r="K363" s="129" t="n">
        <f aca="false">G363*J363*'Fleet Build'!$K$58/1000000</f>
        <v>0.110155836716599</v>
      </c>
    </row>
    <row r="364" customFormat="false" ht="15" hidden="false" customHeight="false" outlineLevel="0" collapsed="false">
      <c r="B364" s="125" t="str">
        <f aca="false">'Fleet Build'!B34</f>
        <v>Oceania Riviera</v>
      </c>
      <c r="C364" s="125" t="str">
        <f aca="false">'Fleet Build'!C34</f>
        <v>Oceania</v>
      </c>
      <c r="D364" s="9" t="s">
        <v>201</v>
      </c>
      <c r="E364" s="111" t="n">
        <f aca="false">K$6</f>
        <v>2026.75</v>
      </c>
      <c r="F364" s="111" t="n">
        <f aca="false">E364+0.25</f>
        <v>2027</v>
      </c>
      <c r="G364" s="126" t="n">
        <f aca="false">'Fleet Build'!E34</f>
        <v>1236.61112764058</v>
      </c>
      <c r="H364" s="127" t="n">
        <f aca="false">'Fleet Build'!F34</f>
        <v>2000</v>
      </c>
      <c r="I364" s="127" t="n">
        <f aca="false">'Fleet Build'!G34</f>
        <v>2099</v>
      </c>
      <c r="J364" s="128" t="n">
        <f aca="false">MAX(0,MIN(F364,I364)-MAX(E364,H364))</f>
        <v>0.25</v>
      </c>
      <c r="K364" s="129" t="n">
        <f aca="false">G364*J364*'Fleet Build'!$K$58/1000000</f>
        <v>0.110155836716599</v>
      </c>
    </row>
    <row r="365" customFormat="false" ht="15" hidden="false" customHeight="false" outlineLevel="0" collapsed="false">
      <c r="B365" s="125" t="str">
        <f aca="false">'Fleet Build'!B34</f>
        <v>Oceania Riviera</v>
      </c>
      <c r="C365" s="125" t="str">
        <f aca="false">'Fleet Build'!C34</f>
        <v>Oceania</v>
      </c>
      <c r="D365" s="9" t="s">
        <v>202</v>
      </c>
      <c r="E365" s="111" t="n">
        <f aca="false">L$6</f>
        <v>2027</v>
      </c>
      <c r="F365" s="111" t="n">
        <f aca="false">E365+0.25</f>
        <v>2027.25</v>
      </c>
      <c r="G365" s="126" t="n">
        <f aca="false">'Fleet Build'!E34</f>
        <v>1236.61112764058</v>
      </c>
      <c r="H365" s="127" t="n">
        <f aca="false">'Fleet Build'!F34</f>
        <v>2000</v>
      </c>
      <c r="I365" s="127" t="n">
        <f aca="false">'Fleet Build'!G34</f>
        <v>2099</v>
      </c>
      <c r="J365" s="128" t="n">
        <f aca="false">MAX(0,MIN(F365,I365)-MAX(E365,H365))</f>
        <v>0.25</v>
      </c>
      <c r="K365" s="129" t="n">
        <f aca="false">G365*J365*'Fleet Build'!$K$58/1000000</f>
        <v>0.110155836716599</v>
      </c>
    </row>
    <row r="366" customFormat="false" ht="15" hidden="false" customHeight="false" outlineLevel="0" collapsed="false">
      <c r="B366" s="125" t="str">
        <f aca="false">'Fleet Build'!B34</f>
        <v>Oceania Riviera</v>
      </c>
      <c r="C366" s="125" t="str">
        <f aca="false">'Fleet Build'!C34</f>
        <v>Oceania</v>
      </c>
      <c r="D366" s="9" t="s">
        <v>203</v>
      </c>
      <c r="E366" s="111" t="n">
        <f aca="false">M$6</f>
        <v>2027.25</v>
      </c>
      <c r="F366" s="111" t="n">
        <f aca="false">E366+0.25</f>
        <v>2027.5</v>
      </c>
      <c r="G366" s="126" t="n">
        <f aca="false">'Fleet Build'!E34</f>
        <v>1236.61112764058</v>
      </c>
      <c r="H366" s="127" t="n">
        <f aca="false">'Fleet Build'!F34</f>
        <v>2000</v>
      </c>
      <c r="I366" s="127" t="n">
        <f aca="false">'Fleet Build'!G34</f>
        <v>2099</v>
      </c>
      <c r="J366" s="128" t="n">
        <f aca="false">MAX(0,MIN(F366,I366)-MAX(E366,H366))</f>
        <v>0.25</v>
      </c>
      <c r="K366" s="129" t="n">
        <f aca="false">G366*J366*'Fleet Build'!$K$58/1000000</f>
        <v>0.110155836716599</v>
      </c>
    </row>
    <row r="367" customFormat="false" ht="15" hidden="false" customHeight="false" outlineLevel="0" collapsed="false">
      <c r="B367" s="125" t="str">
        <f aca="false">'Fleet Build'!B34</f>
        <v>Oceania Riviera</v>
      </c>
      <c r="C367" s="125" t="str">
        <f aca="false">'Fleet Build'!C34</f>
        <v>Oceania</v>
      </c>
      <c r="D367" s="9" t="s">
        <v>204</v>
      </c>
      <c r="E367" s="111" t="n">
        <f aca="false">N$6</f>
        <v>2027.5</v>
      </c>
      <c r="F367" s="111" t="n">
        <f aca="false">E367+0.25</f>
        <v>2027.75</v>
      </c>
      <c r="G367" s="126" t="n">
        <f aca="false">'Fleet Build'!E34</f>
        <v>1236.61112764058</v>
      </c>
      <c r="H367" s="127" t="n">
        <f aca="false">'Fleet Build'!F34</f>
        <v>2000</v>
      </c>
      <c r="I367" s="127" t="n">
        <f aca="false">'Fleet Build'!G34</f>
        <v>2099</v>
      </c>
      <c r="J367" s="128" t="n">
        <f aca="false">MAX(0,MIN(F367,I367)-MAX(E367,H367))</f>
        <v>0.25</v>
      </c>
      <c r="K367" s="129" t="n">
        <f aca="false">G367*J367*'Fleet Build'!$K$58/1000000</f>
        <v>0.110155836716599</v>
      </c>
    </row>
    <row r="368" customFormat="false" ht="15" hidden="false" customHeight="false" outlineLevel="0" collapsed="false">
      <c r="B368" s="125" t="str">
        <f aca="false">'Fleet Build'!B34</f>
        <v>Oceania Riviera</v>
      </c>
      <c r="C368" s="125" t="str">
        <f aca="false">'Fleet Build'!C34</f>
        <v>Oceania</v>
      </c>
      <c r="D368" s="9" t="s">
        <v>205</v>
      </c>
      <c r="E368" s="111" t="n">
        <f aca="false">O$6</f>
        <v>2027.75</v>
      </c>
      <c r="F368" s="111" t="n">
        <f aca="false">E368+0.25</f>
        <v>2028</v>
      </c>
      <c r="G368" s="126" t="n">
        <f aca="false">'Fleet Build'!E34</f>
        <v>1236.61112764058</v>
      </c>
      <c r="H368" s="127" t="n">
        <f aca="false">'Fleet Build'!F34</f>
        <v>2000</v>
      </c>
      <c r="I368" s="127" t="n">
        <f aca="false">'Fleet Build'!G34</f>
        <v>2099</v>
      </c>
      <c r="J368" s="128" t="n">
        <f aca="false">MAX(0,MIN(F368,I368)-MAX(E368,H368))</f>
        <v>0.25</v>
      </c>
      <c r="K368" s="129" t="n">
        <f aca="false">G368*J368*'Fleet Build'!$K$58/1000000</f>
        <v>0.110155836716599</v>
      </c>
    </row>
    <row r="369" customFormat="false" ht="15" hidden="false" customHeight="false" outlineLevel="0" collapsed="false">
      <c r="B369" s="125" t="str">
        <f aca="false">'Fleet Build'!B35</f>
        <v>Oceania Marina</v>
      </c>
      <c r="C369" s="125" t="str">
        <f aca="false">'Fleet Build'!C35</f>
        <v>Oceania</v>
      </c>
      <c r="D369" s="9" t="s">
        <v>617</v>
      </c>
      <c r="E369" s="111" t="n">
        <f aca="false">D$6</f>
        <v>2025</v>
      </c>
      <c r="F369" s="111" t="n">
        <f aca="false">E369+0.25</f>
        <v>2025.25</v>
      </c>
      <c r="G369" s="126" t="n">
        <f aca="false">'Fleet Build'!E35</f>
        <v>1236.61112764058</v>
      </c>
      <c r="H369" s="127" t="n">
        <f aca="false">'Fleet Build'!F35</f>
        <v>2000</v>
      </c>
      <c r="I369" s="127" t="n">
        <f aca="false">'Fleet Build'!G35</f>
        <v>2099</v>
      </c>
      <c r="J369" s="128" t="n">
        <f aca="false">MAX(0,MIN(F369,I369)-MAX(E369,H369))</f>
        <v>0.25</v>
      </c>
      <c r="K369" s="129" t="n">
        <f aca="false">G369*J369*'Fleet Build'!$K$58/1000000</f>
        <v>0.110155836716599</v>
      </c>
    </row>
    <row r="370" customFormat="false" ht="15" hidden="false" customHeight="false" outlineLevel="0" collapsed="false">
      <c r="B370" s="125" t="str">
        <f aca="false">'Fleet Build'!B35</f>
        <v>Oceania Marina</v>
      </c>
      <c r="C370" s="125" t="str">
        <f aca="false">'Fleet Build'!C35</f>
        <v>Oceania</v>
      </c>
      <c r="D370" s="9" t="s">
        <v>618</v>
      </c>
      <c r="E370" s="111" t="n">
        <f aca="false">E$6</f>
        <v>2025.25</v>
      </c>
      <c r="F370" s="111" t="n">
        <f aca="false">E370+0.25</f>
        <v>2025.5</v>
      </c>
      <c r="G370" s="126" t="n">
        <f aca="false">'Fleet Build'!E35</f>
        <v>1236.61112764058</v>
      </c>
      <c r="H370" s="127" t="n">
        <f aca="false">'Fleet Build'!F35</f>
        <v>2000</v>
      </c>
      <c r="I370" s="127" t="n">
        <f aca="false">'Fleet Build'!G35</f>
        <v>2099</v>
      </c>
      <c r="J370" s="128" t="n">
        <f aca="false">MAX(0,MIN(F370,I370)-MAX(E370,H370))</f>
        <v>0.25</v>
      </c>
      <c r="K370" s="129" t="n">
        <f aca="false">G370*J370*'Fleet Build'!$K$58/1000000</f>
        <v>0.110155836716599</v>
      </c>
    </row>
    <row r="371" customFormat="false" ht="15" hidden="false" customHeight="false" outlineLevel="0" collapsed="false">
      <c r="B371" s="125" t="str">
        <f aca="false">'Fleet Build'!B35</f>
        <v>Oceania Marina</v>
      </c>
      <c r="C371" s="125" t="str">
        <f aca="false">'Fleet Build'!C35</f>
        <v>Oceania</v>
      </c>
      <c r="D371" s="9" t="s">
        <v>619</v>
      </c>
      <c r="E371" s="111" t="n">
        <f aca="false">F$6</f>
        <v>2025.5</v>
      </c>
      <c r="F371" s="111" t="n">
        <f aca="false">E371+0.25</f>
        <v>2025.75</v>
      </c>
      <c r="G371" s="126" t="n">
        <f aca="false">'Fleet Build'!E35</f>
        <v>1236.61112764058</v>
      </c>
      <c r="H371" s="127" t="n">
        <f aca="false">'Fleet Build'!F35</f>
        <v>2000</v>
      </c>
      <c r="I371" s="127" t="n">
        <f aca="false">'Fleet Build'!G35</f>
        <v>2099</v>
      </c>
      <c r="J371" s="128" t="n">
        <f aca="false">MAX(0,MIN(F371,I371)-MAX(E371,H371))</f>
        <v>0.25</v>
      </c>
      <c r="K371" s="129" t="n">
        <f aca="false">G371*J371*'Fleet Build'!$K$58/1000000</f>
        <v>0.110155836716599</v>
      </c>
    </row>
    <row r="372" customFormat="false" ht="15" hidden="false" customHeight="false" outlineLevel="0" collapsed="false">
      <c r="B372" s="125" t="str">
        <f aca="false">'Fleet Build'!B35</f>
        <v>Oceania Marina</v>
      </c>
      <c r="C372" s="125" t="str">
        <f aca="false">'Fleet Build'!C35</f>
        <v>Oceania</v>
      </c>
      <c r="D372" s="9" t="s">
        <v>620</v>
      </c>
      <c r="E372" s="111" t="n">
        <f aca="false">G$6</f>
        <v>2025.75</v>
      </c>
      <c r="F372" s="111" t="n">
        <f aca="false">E372+0.25</f>
        <v>2026</v>
      </c>
      <c r="G372" s="126" t="n">
        <f aca="false">'Fleet Build'!E35</f>
        <v>1236.61112764058</v>
      </c>
      <c r="H372" s="127" t="n">
        <f aca="false">'Fleet Build'!F35</f>
        <v>2000</v>
      </c>
      <c r="I372" s="127" t="n">
        <f aca="false">'Fleet Build'!G35</f>
        <v>2099</v>
      </c>
      <c r="J372" s="128" t="n">
        <f aca="false">MAX(0,MIN(F372,I372)-MAX(E372,H372))</f>
        <v>0.25</v>
      </c>
      <c r="K372" s="129" t="n">
        <f aca="false">G372*J372*'Fleet Build'!$K$58/1000000</f>
        <v>0.110155836716599</v>
      </c>
    </row>
    <row r="373" customFormat="false" ht="15" hidden="false" customHeight="false" outlineLevel="0" collapsed="false">
      <c r="B373" s="125" t="str">
        <f aca="false">'Fleet Build'!B35</f>
        <v>Oceania Marina</v>
      </c>
      <c r="C373" s="125" t="str">
        <f aca="false">'Fleet Build'!C35</f>
        <v>Oceania</v>
      </c>
      <c r="D373" s="9" t="s">
        <v>621</v>
      </c>
      <c r="E373" s="111" t="n">
        <f aca="false">H$6</f>
        <v>2026</v>
      </c>
      <c r="F373" s="111" t="n">
        <f aca="false">E373+0.25</f>
        <v>2026.25</v>
      </c>
      <c r="G373" s="126" t="n">
        <f aca="false">'Fleet Build'!E35</f>
        <v>1236.61112764058</v>
      </c>
      <c r="H373" s="127" t="n">
        <f aca="false">'Fleet Build'!F35</f>
        <v>2000</v>
      </c>
      <c r="I373" s="127" t="n">
        <f aca="false">'Fleet Build'!G35</f>
        <v>2099</v>
      </c>
      <c r="J373" s="128" t="n">
        <f aca="false">MAX(0,MIN(F373,I373)-MAX(E373,H373))</f>
        <v>0.25</v>
      </c>
      <c r="K373" s="129" t="n">
        <f aca="false">G373*J373*'Fleet Build'!$K$58/1000000</f>
        <v>0.110155836716599</v>
      </c>
    </row>
    <row r="374" customFormat="false" ht="15" hidden="false" customHeight="false" outlineLevel="0" collapsed="false">
      <c r="B374" s="125" t="str">
        <f aca="false">'Fleet Build'!B35</f>
        <v>Oceania Marina</v>
      </c>
      <c r="C374" s="125" t="str">
        <f aca="false">'Fleet Build'!C35</f>
        <v>Oceania</v>
      </c>
      <c r="D374" s="9" t="s">
        <v>622</v>
      </c>
      <c r="E374" s="111" t="n">
        <f aca="false">I$6</f>
        <v>2026.25</v>
      </c>
      <c r="F374" s="111" t="n">
        <f aca="false">E374+0.25</f>
        <v>2026.5</v>
      </c>
      <c r="G374" s="126" t="n">
        <f aca="false">'Fleet Build'!E35</f>
        <v>1236.61112764058</v>
      </c>
      <c r="H374" s="127" t="n">
        <f aca="false">'Fleet Build'!F35</f>
        <v>2000</v>
      </c>
      <c r="I374" s="127" t="n">
        <f aca="false">'Fleet Build'!G35</f>
        <v>2099</v>
      </c>
      <c r="J374" s="128" t="n">
        <f aca="false">MAX(0,MIN(F374,I374)-MAX(E374,H374))</f>
        <v>0.25</v>
      </c>
      <c r="K374" s="129" t="n">
        <f aca="false">G374*J374*'Fleet Build'!$K$58/1000000</f>
        <v>0.110155836716599</v>
      </c>
    </row>
    <row r="375" customFormat="false" ht="15" hidden="false" customHeight="false" outlineLevel="0" collapsed="false">
      <c r="B375" s="125" t="str">
        <f aca="false">'Fleet Build'!B35</f>
        <v>Oceania Marina</v>
      </c>
      <c r="C375" s="125" t="str">
        <f aca="false">'Fleet Build'!C35</f>
        <v>Oceania</v>
      </c>
      <c r="D375" s="9" t="s">
        <v>200</v>
      </c>
      <c r="E375" s="111" t="n">
        <f aca="false">J$6</f>
        <v>2026.5</v>
      </c>
      <c r="F375" s="111" t="n">
        <f aca="false">E375+0.25</f>
        <v>2026.75</v>
      </c>
      <c r="G375" s="126" t="n">
        <f aca="false">'Fleet Build'!E35</f>
        <v>1236.61112764058</v>
      </c>
      <c r="H375" s="127" t="n">
        <f aca="false">'Fleet Build'!F35</f>
        <v>2000</v>
      </c>
      <c r="I375" s="127" t="n">
        <f aca="false">'Fleet Build'!G35</f>
        <v>2099</v>
      </c>
      <c r="J375" s="128" t="n">
        <f aca="false">MAX(0,MIN(F375,I375)-MAX(E375,H375))</f>
        <v>0.25</v>
      </c>
      <c r="K375" s="129" t="n">
        <f aca="false">G375*J375*'Fleet Build'!$K$58/1000000</f>
        <v>0.110155836716599</v>
      </c>
    </row>
    <row r="376" customFormat="false" ht="15" hidden="false" customHeight="false" outlineLevel="0" collapsed="false">
      <c r="B376" s="125" t="str">
        <f aca="false">'Fleet Build'!B35</f>
        <v>Oceania Marina</v>
      </c>
      <c r="C376" s="125" t="str">
        <f aca="false">'Fleet Build'!C35</f>
        <v>Oceania</v>
      </c>
      <c r="D376" s="9" t="s">
        <v>201</v>
      </c>
      <c r="E376" s="111" t="n">
        <f aca="false">K$6</f>
        <v>2026.75</v>
      </c>
      <c r="F376" s="111" t="n">
        <f aca="false">E376+0.25</f>
        <v>2027</v>
      </c>
      <c r="G376" s="126" t="n">
        <f aca="false">'Fleet Build'!E35</f>
        <v>1236.61112764058</v>
      </c>
      <c r="H376" s="127" t="n">
        <f aca="false">'Fleet Build'!F35</f>
        <v>2000</v>
      </c>
      <c r="I376" s="127" t="n">
        <f aca="false">'Fleet Build'!G35</f>
        <v>2099</v>
      </c>
      <c r="J376" s="128" t="n">
        <f aca="false">MAX(0,MIN(F376,I376)-MAX(E376,H376))</f>
        <v>0.25</v>
      </c>
      <c r="K376" s="129" t="n">
        <f aca="false">G376*J376*'Fleet Build'!$K$58/1000000</f>
        <v>0.110155836716599</v>
      </c>
    </row>
    <row r="377" customFormat="false" ht="15" hidden="false" customHeight="false" outlineLevel="0" collapsed="false">
      <c r="B377" s="125" t="str">
        <f aca="false">'Fleet Build'!B35</f>
        <v>Oceania Marina</v>
      </c>
      <c r="C377" s="125" t="str">
        <f aca="false">'Fleet Build'!C35</f>
        <v>Oceania</v>
      </c>
      <c r="D377" s="9" t="s">
        <v>202</v>
      </c>
      <c r="E377" s="111" t="n">
        <f aca="false">L$6</f>
        <v>2027</v>
      </c>
      <c r="F377" s="111" t="n">
        <f aca="false">E377+0.25</f>
        <v>2027.25</v>
      </c>
      <c r="G377" s="126" t="n">
        <f aca="false">'Fleet Build'!E35</f>
        <v>1236.61112764058</v>
      </c>
      <c r="H377" s="127" t="n">
        <f aca="false">'Fleet Build'!F35</f>
        <v>2000</v>
      </c>
      <c r="I377" s="127" t="n">
        <f aca="false">'Fleet Build'!G35</f>
        <v>2099</v>
      </c>
      <c r="J377" s="128" t="n">
        <f aca="false">MAX(0,MIN(F377,I377)-MAX(E377,H377))</f>
        <v>0.25</v>
      </c>
      <c r="K377" s="129" t="n">
        <f aca="false">G377*J377*'Fleet Build'!$K$58/1000000</f>
        <v>0.110155836716599</v>
      </c>
    </row>
    <row r="378" customFormat="false" ht="15" hidden="false" customHeight="false" outlineLevel="0" collapsed="false">
      <c r="B378" s="125" t="str">
        <f aca="false">'Fleet Build'!B35</f>
        <v>Oceania Marina</v>
      </c>
      <c r="C378" s="125" t="str">
        <f aca="false">'Fleet Build'!C35</f>
        <v>Oceania</v>
      </c>
      <c r="D378" s="9" t="s">
        <v>203</v>
      </c>
      <c r="E378" s="111" t="n">
        <f aca="false">M$6</f>
        <v>2027.25</v>
      </c>
      <c r="F378" s="111" t="n">
        <f aca="false">E378+0.25</f>
        <v>2027.5</v>
      </c>
      <c r="G378" s="126" t="n">
        <f aca="false">'Fleet Build'!E35</f>
        <v>1236.61112764058</v>
      </c>
      <c r="H378" s="127" t="n">
        <f aca="false">'Fleet Build'!F35</f>
        <v>2000</v>
      </c>
      <c r="I378" s="127" t="n">
        <f aca="false">'Fleet Build'!G35</f>
        <v>2099</v>
      </c>
      <c r="J378" s="128" t="n">
        <f aca="false">MAX(0,MIN(F378,I378)-MAX(E378,H378))</f>
        <v>0.25</v>
      </c>
      <c r="K378" s="129" t="n">
        <f aca="false">G378*J378*'Fleet Build'!$K$58/1000000</f>
        <v>0.110155836716599</v>
      </c>
    </row>
    <row r="379" customFormat="false" ht="15" hidden="false" customHeight="false" outlineLevel="0" collapsed="false">
      <c r="B379" s="125" t="str">
        <f aca="false">'Fleet Build'!B35</f>
        <v>Oceania Marina</v>
      </c>
      <c r="C379" s="125" t="str">
        <f aca="false">'Fleet Build'!C35</f>
        <v>Oceania</v>
      </c>
      <c r="D379" s="9" t="s">
        <v>204</v>
      </c>
      <c r="E379" s="111" t="n">
        <f aca="false">N$6</f>
        <v>2027.5</v>
      </c>
      <c r="F379" s="111" t="n">
        <f aca="false">E379+0.25</f>
        <v>2027.75</v>
      </c>
      <c r="G379" s="126" t="n">
        <f aca="false">'Fleet Build'!E35</f>
        <v>1236.61112764058</v>
      </c>
      <c r="H379" s="127" t="n">
        <f aca="false">'Fleet Build'!F35</f>
        <v>2000</v>
      </c>
      <c r="I379" s="127" t="n">
        <f aca="false">'Fleet Build'!G35</f>
        <v>2099</v>
      </c>
      <c r="J379" s="128" t="n">
        <f aca="false">MAX(0,MIN(F379,I379)-MAX(E379,H379))</f>
        <v>0.25</v>
      </c>
      <c r="K379" s="129" t="n">
        <f aca="false">G379*J379*'Fleet Build'!$K$58/1000000</f>
        <v>0.110155836716599</v>
      </c>
    </row>
    <row r="380" customFormat="false" ht="15" hidden="false" customHeight="false" outlineLevel="0" collapsed="false">
      <c r="B380" s="125" t="str">
        <f aca="false">'Fleet Build'!B35</f>
        <v>Oceania Marina</v>
      </c>
      <c r="C380" s="125" t="str">
        <f aca="false">'Fleet Build'!C35</f>
        <v>Oceania</v>
      </c>
      <c r="D380" s="9" t="s">
        <v>205</v>
      </c>
      <c r="E380" s="111" t="n">
        <f aca="false">O$6</f>
        <v>2027.75</v>
      </c>
      <c r="F380" s="111" t="n">
        <f aca="false">E380+0.25</f>
        <v>2028</v>
      </c>
      <c r="G380" s="126" t="n">
        <f aca="false">'Fleet Build'!E35</f>
        <v>1236.61112764058</v>
      </c>
      <c r="H380" s="127" t="n">
        <f aca="false">'Fleet Build'!F35</f>
        <v>2000</v>
      </c>
      <c r="I380" s="127" t="n">
        <f aca="false">'Fleet Build'!G35</f>
        <v>2099</v>
      </c>
      <c r="J380" s="128" t="n">
        <f aca="false">MAX(0,MIN(F380,I380)-MAX(E380,H380))</f>
        <v>0.25</v>
      </c>
      <c r="K380" s="129" t="n">
        <f aca="false">G380*J380*'Fleet Build'!$K$58/1000000</f>
        <v>0.110155836716599</v>
      </c>
    </row>
    <row r="381" customFormat="false" ht="15" hidden="false" customHeight="false" outlineLevel="0" collapsed="false">
      <c r="B381" s="125" t="str">
        <f aca="false">'Fleet Build'!B36</f>
        <v>Oceania Sirena</v>
      </c>
      <c r="C381" s="125" t="str">
        <f aca="false">'Fleet Build'!C36</f>
        <v>Oceania</v>
      </c>
      <c r="D381" s="9" t="s">
        <v>617</v>
      </c>
      <c r="E381" s="111" t="n">
        <f aca="false">D$6</f>
        <v>2025</v>
      </c>
      <c r="F381" s="111" t="n">
        <f aca="false">E381+0.25</f>
        <v>2025.25</v>
      </c>
      <c r="G381" s="126" t="n">
        <f aca="false">'Fleet Build'!E36</f>
        <v>684</v>
      </c>
      <c r="H381" s="127" t="n">
        <f aca="false">'Fleet Build'!F36</f>
        <v>2000</v>
      </c>
      <c r="I381" s="127" t="n">
        <f aca="false">'Fleet Build'!G36</f>
        <v>2099</v>
      </c>
      <c r="J381" s="128" t="n">
        <f aca="false">MAX(0,MIN(F381,I381)-MAX(E381,H381))</f>
        <v>0.25</v>
      </c>
      <c r="K381" s="129" t="n">
        <f aca="false">G381*J381*'Fleet Build'!$K$58/1000000</f>
        <v>0.0609298999742242</v>
      </c>
    </row>
    <row r="382" customFormat="false" ht="15" hidden="false" customHeight="false" outlineLevel="0" collapsed="false">
      <c r="B382" s="125" t="str">
        <f aca="false">'Fleet Build'!B36</f>
        <v>Oceania Sirena</v>
      </c>
      <c r="C382" s="125" t="str">
        <f aca="false">'Fleet Build'!C36</f>
        <v>Oceania</v>
      </c>
      <c r="D382" s="9" t="s">
        <v>618</v>
      </c>
      <c r="E382" s="111" t="n">
        <f aca="false">E$6</f>
        <v>2025.25</v>
      </c>
      <c r="F382" s="111" t="n">
        <f aca="false">E382+0.25</f>
        <v>2025.5</v>
      </c>
      <c r="G382" s="126" t="n">
        <f aca="false">'Fleet Build'!E36</f>
        <v>684</v>
      </c>
      <c r="H382" s="127" t="n">
        <f aca="false">'Fleet Build'!F36</f>
        <v>2000</v>
      </c>
      <c r="I382" s="127" t="n">
        <f aca="false">'Fleet Build'!G36</f>
        <v>2099</v>
      </c>
      <c r="J382" s="128" t="n">
        <f aca="false">MAX(0,MIN(F382,I382)-MAX(E382,H382))</f>
        <v>0.25</v>
      </c>
      <c r="K382" s="129" t="n">
        <f aca="false">G382*J382*'Fleet Build'!$K$58/1000000</f>
        <v>0.0609298999742242</v>
      </c>
    </row>
    <row r="383" customFormat="false" ht="15" hidden="false" customHeight="false" outlineLevel="0" collapsed="false">
      <c r="B383" s="125" t="str">
        <f aca="false">'Fleet Build'!B36</f>
        <v>Oceania Sirena</v>
      </c>
      <c r="C383" s="125" t="str">
        <f aca="false">'Fleet Build'!C36</f>
        <v>Oceania</v>
      </c>
      <c r="D383" s="9" t="s">
        <v>619</v>
      </c>
      <c r="E383" s="111" t="n">
        <f aca="false">F$6</f>
        <v>2025.5</v>
      </c>
      <c r="F383" s="111" t="n">
        <f aca="false">E383+0.25</f>
        <v>2025.75</v>
      </c>
      <c r="G383" s="126" t="n">
        <f aca="false">'Fleet Build'!E36</f>
        <v>684</v>
      </c>
      <c r="H383" s="127" t="n">
        <f aca="false">'Fleet Build'!F36</f>
        <v>2000</v>
      </c>
      <c r="I383" s="127" t="n">
        <f aca="false">'Fleet Build'!G36</f>
        <v>2099</v>
      </c>
      <c r="J383" s="128" t="n">
        <f aca="false">MAX(0,MIN(F383,I383)-MAX(E383,H383))</f>
        <v>0.25</v>
      </c>
      <c r="K383" s="129" t="n">
        <f aca="false">G383*J383*'Fleet Build'!$K$58/1000000</f>
        <v>0.0609298999742242</v>
      </c>
    </row>
    <row r="384" customFormat="false" ht="15" hidden="false" customHeight="false" outlineLevel="0" collapsed="false">
      <c r="B384" s="125" t="str">
        <f aca="false">'Fleet Build'!B36</f>
        <v>Oceania Sirena</v>
      </c>
      <c r="C384" s="125" t="str">
        <f aca="false">'Fleet Build'!C36</f>
        <v>Oceania</v>
      </c>
      <c r="D384" s="9" t="s">
        <v>620</v>
      </c>
      <c r="E384" s="111" t="n">
        <f aca="false">G$6</f>
        <v>2025.75</v>
      </c>
      <c r="F384" s="111" t="n">
        <f aca="false">E384+0.25</f>
        <v>2026</v>
      </c>
      <c r="G384" s="126" t="n">
        <f aca="false">'Fleet Build'!E36</f>
        <v>684</v>
      </c>
      <c r="H384" s="127" t="n">
        <f aca="false">'Fleet Build'!F36</f>
        <v>2000</v>
      </c>
      <c r="I384" s="127" t="n">
        <f aca="false">'Fleet Build'!G36</f>
        <v>2099</v>
      </c>
      <c r="J384" s="128" t="n">
        <f aca="false">MAX(0,MIN(F384,I384)-MAX(E384,H384))</f>
        <v>0.25</v>
      </c>
      <c r="K384" s="129" t="n">
        <f aca="false">G384*J384*'Fleet Build'!$K$58/1000000</f>
        <v>0.0609298999742242</v>
      </c>
    </row>
    <row r="385" customFormat="false" ht="15" hidden="false" customHeight="false" outlineLevel="0" collapsed="false">
      <c r="B385" s="125" t="str">
        <f aca="false">'Fleet Build'!B36</f>
        <v>Oceania Sirena</v>
      </c>
      <c r="C385" s="125" t="str">
        <f aca="false">'Fleet Build'!C36</f>
        <v>Oceania</v>
      </c>
      <c r="D385" s="9" t="s">
        <v>621</v>
      </c>
      <c r="E385" s="111" t="n">
        <f aca="false">H$6</f>
        <v>2026</v>
      </c>
      <c r="F385" s="111" t="n">
        <f aca="false">E385+0.25</f>
        <v>2026.25</v>
      </c>
      <c r="G385" s="126" t="n">
        <f aca="false">'Fleet Build'!E36</f>
        <v>684</v>
      </c>
      <c r="H385" s="127" t="n">
        <f aca="false">'Fleet Build'!F36</f>
        <v>2000</v>
      </c>
      <c r="I385" s="127" t="n">
        <f aca="false">'Fleet Build'!G36</f>
        <v>2099</v>
      </c>
      <c r="J385" s="128" t="n">
        <f aca="false">MAX(0,MIN(F385,I385)-MAX(E385,H385))</f>
        <v>0.25</v>
      </c>
      <c r="K385" s="129" t="n">
        <f aca="false">G385*J385*'Fleet Build'!$K$58/1000000</f>
        <v>0.0609298999742242</v>
      </c>
    </row>
    <row r="386" customFormat="false" ht="15" hidden="false" customHeight="false" outlineLevel="0" collapsed="false">
      <c r="B386" s="125" t="str">
        <f aca="false">'Fleet Build'!B36</f>
        <v>Oceania Sirena</v>
      </c>
      <c r="C386" s="125" t="str">
        <f aca="false">'Fleet Build'!C36</f>
        <v>Oceania</v>
      </c>
      <c r="D386" s="9" t="s">
        <v>622</v>
      </c>
      <c r="E386" s="111" t="n">
        <f aca="false">I$6</f>
        <v>2026.25</v>
      </c>
      <c r="F386" s="111" t="n">
        <f aca="false">E386+0.25</f>
        <v>2026.5</v>
      </c>
      <c r="G386" s="126" t="n">
        <f aca="false">'Fleet Build'!E36</f>
        <v>684</v>
      </c>
      <c r="H386" s="127" t="n">
        <f aca="false">'Fleet Build'!F36</f>
        <v>2000</v>
      </c>
      <c r="I386" s="127" t="n">
        <f aca="false">'Fleet Build'!G36</f>
        <v>2099</v>
      </c>
      <c r="J386" s="128" t="n">
        <f aca="false">MAX(0,MIN(F386,I386)-MAX(E386,H386))</f>
        <v>0.25</v>
      </c>
      <c r="K386" s="129" t="n">
        <f aca="false">G386*J386*'Fleet Build'!$K$58/1000000</f>
        <v>0.0609298999742242</v>
      </c>
    </row>
    <row r="387" customFormat="false" ht="15" hidden="false" customHeight="false" outlineLevel="0" collapsed="false">
      <c r="B387" s="125" t="str">
        <f aca="false">'Fleet Build'!B36</f>
        <v>Oceania Sirena</v>
      </c>
      <c r="C387" s="125" t="str">
        <f aca="false">'Fleet Build'!C36</f>
        <v>Oceania</v>
      </c>
      <c r="D387" s="9" t="s">
        <v>200</v>
      </c>
      <c r="E387" s="111" t="n">
        <f aca="false">J$6</f>
        <v>2026.5</v>
      </c>
      <c r="F387" s="111" t="n">
        <f aca="false">E387+0.25</f>
        <v>2026.75</v>
      </c>
      <c r="G387" s="126" t="n">
        <f aca="false">'Fleet Build'!E36</f>
        <v>684</v>
      </c>
      <c r="H387" s="127" t="n">
        <f aca="false">'Fleet Build'!F36</f>
        <v>2000</v>
      </c>
      <c r="I387" s="127" t="n">
        <f aca="false">'Fleet Build'!G36</f>
        <v>2099</v>
      </c>
      <c r="J387" s="128" t="n">
        <f aca="false">MAX(0,MIN(F387,I387)-MAX(E387,H387))</f>
        <v>0.25</v>
      </c>
      <c r="K387" s="129" t="n">
        <f aca="false">G387*J387*'Fleet Build'!$K$58/1000000</f>
        <v>0.0609298999742242</v>
      </c>
    </row>
    <row r="388" customFormat="false" ht="15" hidden="false" customHeight="false" outlineLevel="0" collapsed="false">
      <c r="B388" s="125" t="str">
        <f aca="false">'Fleet Build'!B36</f>
        <v>Oceania Sirena</v>
      </c>
      <c r="C388" s="125" t="str">
        <f aca="false">'Fleet Build'!C36</f>
        <v>Oceania</v>
      </c>
      <c r="D388" s="9" t="s">
        <v>201</v>
      </c>
      <c r="E388" s="111" t="n">
        <f aca="false">K$6</f>
        <v>2026.75</v>
      </c>
      <c r="F388" s="111" t="n">
        <f aca="false">E388+0.25</f>
        <v>2027</v>
      </c>
      <c r="G388" s="126" t="n">
        <f aca="false">'Fleet Build'!E36</f>
        <v>684</v>
      </c>
      <c r="H388" s="127" t="n">
        <f aca="false">'Fleet Build'!F36</f>
        <v>2000</v>
      </c>
      <c r="I388" s="127" t="n">
        <f aca="false">'Fleet Build'!G36</f>
        <v>2099</v>
      </c>
      <c r="J388" s="128" t="n">
        <f aca="false">MAX(0,MIN(F388,I388)-MAX(E388,H388))</f>
        <v>0.25</v>
      </c>
      <c r="K388" s="129" t="n">
        <f aca="false">G388*J388*'Fleet Build'!$K$58/1000000</f>
        <v>0.0609298999742242</v>
      </c>
    </row>
    <row r="389" customFormat="false" ht="15" hidden="false" customHeight="false" outlineLevel="0" collapsed="false">
      <c r="B389" s="125" t="str">
        <f aca="false">'Fleet Build'!B36</f>
        <v>Oceania Sirena</v>
      </c>
      <c r="C389" s="125" t="str">
        <f aca="false">'Fleet Build'!C36</f>
        <v>Oceania</v>
      </c>
      <c r="D389" s="9" t="s">
        <v>202</v>
      </c>
      <c r="E389" s="111" t="n">
        <f aca="false">L$6</f>
        <v>2027</v>
      </c>
      <c r="F389" s="111" t="n">
        <f aca="false">E389+0.25</f>
        <v>2027.25</v>
      </c>
      <c r="G389" s="126" t="n">
        <f aca="false">'Fleet Build'!E36</f>
        <v>684</v>
      </c>
      <c r="H389" s="127" t="n">
        <f aca="false">'Fleet Build'!F36</f>
        <v>2000</v>
      </c>
      <c r="I389" s="127" t="n">
        <f aca="false">'Fleet Build'!G36</f>
        <v>2099</v>
      </c>
      <c r="J389" s="128" t="n">
        <f aca="false">MAX(0,MIN(F389,I389)-MAX(E389,H389))</f>
        <v>0.25</v>
      </c>
      <c r="K389" s="129" t="n">
        <f aca="false">G389*J389*'Fleet Build'!$K$58/1000000</f>
        <v>0.0609298999742242</v>
      </c>
    </row>
    <row r="390" customFormat="false" ht="15" hidden="false" customHeight="false" outlineLevel="0" collapsed="false">
      <c r="B390" s="125" t="str">
        <f aca="false">'Fleet Build'!B36</f>
        <v>Oceania Sirena</v>
      </c>
      <c r="C390" s="125" t="str">
        <f aca="false">'Fleet Build'!C36</f>
        <v>Oceania</v>
      </c>
      <c r="D390" s="9" t="s">
        <v>203</v>
      </c>
      <c r="E390" s="111" t="n">
        <f aca="false">M$6</f>
        <v>2027.25</v>
      </c>
      <c r="F390" s="111" t="n">
        <f aca="false">E390+0.25</f>
        <v>2027.5</v>
      </c>
      <c r="G390" s="126" t="n">
        <f aca="false">'Fleet Build'!E36</f>
        <v>684</v>
      </c>
      <c r="H390" s="127" t="n">
        <f aca="false">'Fleet Build'!F36</f>
        <v>2000</v>
      </c>
      <c r="I390" s="127" t="n">
        <f aca="false">'Fleet Build'!G36</f>
        <v>2099</v>
      </c>
      <c r="J390" s="128" t="n">
        <f aca="false">MAX(0,MIN(F390,I390)-MAX(E390,H390))</f>
        <v>0.25</v>
      </c>
      <c r="K390" s="129" t="n">
        <f aca="false">G390*J390*'Fleet Build'!$K$58/1000000</f>
        <v>0.0609298999742242</v>
      </c>
    </row>
    <row r="391" customFormat="false" ht="15" hidden="false" customHeight="false" outlineLevel="0" collapsed="false">
      <c r="B391" s="125" t="str">
        <f aca="false">'Fleet Build'!B36</f>
        <v>Oceania Sirena</v>
      </c>
      <c r="C391" s="125" t="str">
        <f aca="false">'Fleet Build'!C36</f>
        <v>Oceania</v>
      </c>
      <c r="D391" s="9" t="s">
        <v>204</v>
      </c>
      <c r="E391" s="111" t="n">
        <f aca="false">N$6</f>
        <v>2027.5</v>
      </c>
      <c r="F391" s="111" t="n">
        <f aca="false">E391+0.25</f>
        <v>2027.75</v>
      </c>
      <c r="G391" s="126" t="n">
        <f aca="false">'Fleet Build'!E36</f>
        <v>684</v>
      </c>
      <c r="H391" s="127" t="n">
        <f aca="false">'Fleet Build'!F36</f>
        <v>2000</v>
      </c>
      <c r="I391" s="127" t="n">
        <f aca="false">'Fleet Build'!G36</f>
        <v>2099</v>
      </c>
      <c r="J391" s="128" t="n">
        <f aca="false">MAX(0,MIN(F391,I391)-MAX(E391,H391))</f>
        <v>0.25</v>
      </c>
      <c r="K391" s="129" t="n">
        <f aca="false">G391*J391*'Fleet Build'!$K$58/1000000</f>
        <v>0.0609298999742242</v>
      </c>
    </row>
    <row r="392" customFormat="false" ht="15" hidden="false" customHeight="false" outlineLevel="0" collapsed="false">
      <c r="B392" s="125" t="str">
        <f aca="false">'Fleet Build'!B36</f>
        <v>Oceania Sirena</v>
      </c>
      <c r="C392" s="125" t="str">
        <f aca="false">'Fleet Build'!C36</f>
        <v>Oceania</v>
      </c>
      <c r="D392" s="9" t="s">
        <v>205</v>
      </c>
      <c r="E392" s="111" t="n">
        <f aca="false">O$6</f>
        <v>2027.75</v>
      </c>
      <c r="F392" s="111" t="n">
        <f aca="false">E392+0.25</f>
        <v>2028</v>
      </c>
      <c r="G392" s="126" t="n">
        <f aca="false">'Fleet Build'!E36</f>
        <v>684</v>
      </c>
      <c r="H392" s="127" t="n">
        <f aca="false">'Fleet Build'!F36</f>
        <v>2000</v>
      </c>
      <c r="I392" s="127" t="n">
        <f aca="false">'Fleet Build'!G36</f>
        <v>2099</v>
      </c>
      <c r="J392" s="128" t="n">
        <f aca="false">MAX(0,MIN(F392,I392)-MAX(E392,H392))</f>
        <v>0.25</v>
      </c>
      <c r="K392" s="129" t="n">
        <f aca="false">G392*J392*'Fleet Build'!$K$58/1000000</f>
        <v>0.0609298999742242</v>
      </c>
    </row>
    <row r="393" customFormat="false" ht="15" hidden="false" customHeight="false" outlineLevel="0" collapsed="false">
      <c r="B393" s="125" t="str">
        <f aca="false">'Fleet Build'!B37</f>
        <v>Oceania Nautica</v>
      </c>
      <c r="C393" s="125" t="str">
        <f aca="false">'Fleet Build'!C37</f>
        <v>Oceania</v>
      </c>
      <c r="D393" s="9" t="s">
        <v>617</v>
      </c>
      <c r="E393" s="111" t="n">
        <f aca="false">D$6</f>
        <v>2025</v>
      </c>
      <c r="F393" s="111" t="n">
        <f aca="false">E393+0.25</f>
        <v>2025.25</v>
      </c>
      <c r="G393" s="126" t="n">
        <f aca="false">'Fleet Build'!E37</f>
        <v>676.673609044927</v>
      </c>
      <c r="H393" s="127" t="n">
        <f aca="false">'Fleet Build'!F37</f>
        <v>2000</v>
      </c>
      <c r="I393" s="127" t="n">
        <f aca="false">'Fleet Build'!G37</f>
        <v>2099</v>
      </c>
      <c r="J393" s="128" t="n">
        <f aca="false">MAX(0,MIN(F393,I393)-MAX(E393,H393))</f>
        <v>0.25</v>
      </c>
      <c r="K393" s="129" t="n">
        <f aca="false">G393*J393*'Fleet Build'!$K$58/1000000</f>
        <v>0.0602772738513227</v>
      </c>
    </row>
    <row r="394" customFormat="false" ht="15" hidden="false" customHeight="false" outlineLevel="0" collapsed="false">
      <c r="B394" s="125" t="str">
        <f aca="false">'Fleet Build'!B37</f>
        <v>Oceania Nautica</v>
      </c>
      <c r="C394" s="125" t="str">
        <f aca="false">'Fleet Build'!C37</f>
        <v>Oceania</v>
      </c>
      <c r="D394" s="9" t="s">
        <v>618</v>
      </c>
      <c r="E394" s="111" t="n">
        <f aca="false">E$6</f>
        <v>2025.25</v>
      </c>
      <c r="F394" s="111" t="n">
        <f aca="false">E394+0.25</f>
        <v>2025.5</v>
      </c>
      <c r="G394" s="126" t="n">
        <f aca="false">'Fleet Build'!E37</f>
        <v>676.673609044927</v>
      </c>
      <c r="H394" s="127" t="n">
        <f aca="false">'Fleet Build'!F37</f>
        <v>2000</v>
      </c>
      <c r="I394" s="127" t="n">
        <f aca="false">'Fleet Build'!G37</f>
        <v>2099</v>
      </c>
      <c r="J394" s="128" t="n">
        <f aca="false">MAX(0,MIN(F394,I394)-MAX(E394,H394))</f>
        <v>0.25</v>
      </c>
      <c r="K394" s="129" t="n">
        <f aca="false">G394*J394*'Fleet Build'!$K$58/1000000</f>
        <v>0.0602772738513227</v>
      </c>
    </row>
    <row r="395" customFormat="false" ht="15" hidden="false" customHeight="false" outlineLevel="0" collapsed="false">
      <c r="B395" s="125" t="str">
        <f aca="false">'Fleet Build'!B37</f>
        <v>Oceania Nautica</v>
      </c>
      <c r="C395" s="125" t="str">
        <f aca="false">'Fleet Build'!C37</f>
        <v>Oceania</v>
      </c>
      <c r="D395" s="9" t="s">
        <v>619</v>
      </c>
      <c r="E395" s="111" t="n">
        <f aca="false">F$6</f>
        <v>2025.5</v>
      </c>
      <c r="F395" s="111" t="n">
        <f aca="false">E395+0.25</f>
        <v>2025.75</v>
      </c>
      <c r="G395" s="126" t="n">
        <f aca="false">'Fleet Build'!E37</f>
        <v>676.673609044927</v>
      </c>
      <c r="H395" s="127" t="n">
        <f aca="false">'Fleet Build'!F37</f>
        <v>2000</v>
      </c>
      <c r="I395" s="127" t="n">
        <f aca="false">'Fleet Build'!G37</f>
        <v>2099</v>
      </c>
      <c r="J395" s="128" t="n">
        <f aca="false">MAX(0,MIN(F395,I395)-MAX(E395,H395))</f>
        <v>0.25</v>
      </c>
      <c r="K395" s="129" t="n">
        <f aca="false">G395*J395*'Fleet Build'!$K$58/1000000</f>
        <v>0.0602772738513227</v>
      </c>
    </row>
    <row r="396" customFormat="false" ht="15" hidden="false" customHeight="false" outlineLevel="0" collapsed="false">
      <c r="B396" s="125" t="str">
        <f aca="false">'Fleet Build'!B37</f>
        <v>Oceania Nautica</v>
      </c>
      <c r="C396" s="125" t="str">
        <f aca="false">'Fleet Build'!C37</f>
        <v>Oceania</v>
      </c>
      <c r="D396" s="9" t="s">
        <v>620</v>
      </c>
      <c r="E396" s="111" t="n">
        <f aca="false">G$6</f>
        <v>2025.75</v>
      </c>
      <c r="F396" s="111" t="n">
        <f aca="false">E396+0.25</f>
        <v>2026</v>
      </c>
      <c r="G396" s="126" t="n">
        <f aca="false">'Fleet Build'!E37</f>
        <v>676.673609044927</v>
      </c>
      <c r="H396" s="127" t="n">
        <f aca="false">'Fleet Build'!F37</f>
        <v>2000</v>
      </c>
      <c r="I396" s="127" t="n">
        <f aca="false">'Fleet Build'!G37</f>
        <v>2099</v>
      </c>
      <c r="J396" s="128" t="n">
        <f aca="false">MAX(0,MIN(F396,I396)-MAX(E396,H396))</f>
        <v>0.25</v>
      </c>
      <c r="K396" s="129" t="n">
        <f aca="false">G396*J396*'Fleet Build'!$K$58/1000000</f>
        <v>0.0602772738513227</v>
      </c>
    </row>
    <row r="397" customFormat="false" ht="15" hidden="false" customHeight="false" outlineLevel="0" collapsed="false">
      <c r="B397" s="125" t="str">
        <f aca="false">'Fleet Build'!B37</f>
        <v>Oceania Nautica</v>
      </c>
      <c r="C397" s="125" t="str">
        <f aca="false">'Fleet Build'!C37</f>
        <v>Oceania</v>
      </c>
      <c r="D397" s="9" t="s">
        <v>621</v>
      </c>
      <c r="E397" s="111" t="n">
        <f aca="false">H$6</f>
        <v>2026</v>
      </c>
      <c r="F397" s="111" t="n">
        <f aca="false">E397+0.25</f>
        <v>2026.25</v>
      </c>
      <c r="G397" s="126" t="n">
        <f aca="false">'Fleet Build'!E37</f>
        <v>676.673609044927</v>
      </c>
      <c r="H397" s="127" t="n">
        <f aca="false">'Fleet Build'!F37</f>
        <v>2000</v>
      </c>
      <c r="I397" s="127" t="n">
        <f aca="false">'Fleet Build'!G37</f>
        <v>2099</v>
      </c>
      <c r="J397" s="128" t="n">
        <f aca="false">MAX(0,MIN(F397,I397)-MAX(E397,H397))</f>
        <v>0.25</v>
      </c>
      <c r="K397" s="129" t="n">
        <f aca="false">G397*J397*'Fleet Build'!$K$58/1000000</f>
        <v>0.0602772738513227</v>
      </c>
    </row>
    <row r="398" customFormat="false" ht="15" hidden="false" customHeight="false" outlineLevel="0" collapsed="false">
      <c r="B398" s="125" t="str">
        <f aca="false">'Fleet Build'!B37</f>
        <v>Oceania Nautica</v>
      </c>
      <c r="C398" s="125" t="str">
        <f aca="false">'Fleet Build'!C37</f>
        <v>Oceania</v>
      </c>
      <c r="D398" s="9" t="s">
        <v>622</v>
      </c>
      <c r="E398" s="111" t="n">
        <f aca="false">I$6</f>
        <v>2026.25</v>
      </c>
      <c r="F398" s="111" t="n">
        <f aca="false">E398+0.25</f>
        <v>2026.5</v>
      </c>
      <c r="G398" s="126" t="n">
        <f aca="false">'Fleet Build'!E37</f>
        <v>676.673609044927</v>
      </c>
      <c r="H398" s="127" t="n">
        <f aca="false">'Fleet Build'!F37</f>
        <v>2000</v>
      </c>
      <c r="I398" s="127" t="n">
        <f aca="false">'Fleet Build'!G37</f>
        <v>2099</v>
      </c>
      <c r="J398" s="128" t="n">
        <f aca="false">MAX(0,MIN(F398,I398)-MAX(E398,H398))</f>
        <v>0.25</v>
      </c>
      <c r="K398" s="129" t="n">
        <f aca="false">G398*J398*'Fleet Build'!$K$58/1000000</f>
        <v>0.0602772738513227</v>
      </c>
    </row>
    <row r="399" customFormat="false" ht="15" hidden="false" customHeight="false" outlineLevel="0" collapsed="false">
      <c r="B399" s="125" t="str">
        <f aca="false">'Fleet Build'!B37</f>
        <v>Oceania Nautica</v>
      </c>
      <c r="C399" s="125" t="str">
        <f aca="false">'Fleet Build'!C37</f>
        <v>Oceania</v>
      </c>
      <c r="D399" s="9" t="s">
        <v>200</v>
      </c>
      <c r="E399" s="111" t="n">
        <f aca="false">J$6</f>
        <v>2026.5</v>
      </c>
      <c r="F399" s="111" t="n">
        <f aca="false">E399+0.25</f>
        <v>2026.75</v>
      </c>
      <c r="G399" s="126" t="n">
        <f aca="false">'Fleet Build'!E37</f>
        <v>676.673609044927</v>
      </c>
      <c r="H399" s="127" t="n">
        <f aca="false">'Fleet Build'!F37</f>
        <v>2000</v>
      </c>
      <c r="I399" s="127" t="n">
        <f aca="false">'Fleet Build'!G37</f>
        <v>2099</v>
      </c>
      <c r="J399" s="128" t="n">
        <f aca="false">MAX(0,MIN(F399,I399)-MAX(E399,H399))</f>
        <v>0.25</v>
      </c>
      <c r="K399" s="129" t="n">
        <f aca="false">G399*J399*'Fleet Build'!$K$58/1000000</f>
        <v>0.0602772738513227</v>
      </c>
    </row>
    <row r="400" customFormat="false" ht="15" hidden="false" customHeight="false" outlineLevel="0" collapsed="false">
      <c r="B400" s="125" t="str">
        <f aca="false">'Fleet Build'!B37</f>
        <v>Oceania Nautica</v>
      </c>
      <c r="C400" s="125" t="str">
        <f aca="false">'Fleet Build'!C37</f>
        <v>Oceania</v>
      </c>
      <c r="D400" s="9" t="s">
        <v>201</v>
      </c>
      <c r="E400" s="111" t="n">
        <f aca="false">K$6</f>
        <v>2026.75</v>
      </c>
      <c r="F400" s="111" t="n">
        <f aca="false">E400+0.25</f>
        <v>2027</v>
      </c>
      <c r="G400" s="126" t="n">
        <f aca="false">'Fleet Build'!E37</f>
        <v>676.673609044927</v>
      </c>
      <c r="H400" s="127" t="n">
        <f aca="false">'Fleet Build'!F37</f>
        <v>2000</v>
      </c>
      <c r="I400" s="127" t="n">
        <f aca="false">'Fleet Build'!G37</f>
        <v>2099</v>
      </c>
      <c r="J400" s="128" t="n">
        <f aca="false">MAX(0,MIN(F400,I400)-MAX(E400,H400))</f>
        <v>0.25</v>
      </c>
      <c r="K400" s="129" t="n">
        <f aca="false">G400*J400*'Fleet Build'!$K$58/1000000</f>
        <v>0.0602772738513227</v>
      </c>
    </row>
    <row r="401" customFormat="false" ht="15" hidden="false" customHeight="false" outlineLevel="0" collapsed="false">
      <c r="B401" s="125" t="str">
        <f aca="false">'Fleet Build'!B37</f>
        <v>Oceania Nautica</v>
      </c>
      <c r="C401" s="125" t="str">
        <f aca="false">'Fleet Build'!C37</f>
        <v>Oceania</v>
      </c>
      <c r="D401" s="9" t="s">
        <v>202</v>
      </c>
      <c r="E401" s="111" t="n">
        <f aca="false">L$6</f>
        <v>2027</v>
      </c>
      <c r="F401" s="111" t="n">
        <f aca="false">E401+0.25</f>
        <v>2027.25</v>
      </c>
      <c r="G401" s="126" t="n">
        <f aca="false">'Fleet Build'!E37</f>
        <v>676.673609044927</v>
      </c>
      <c r="H401" s="127" t="n">
        <f aca="false">'Fleet Build'!F37</f>
        <v>2000</v>
      </c>
      <c r="I401" s="127" t="n">
        <f aca="false">'Fleet Build'!G37</f>
        <v>2099</v>
      </c>
      <c r="J401" s="128" t="n">
        <f aca="false">MAX(0,MIN(F401,I401)-MAX(E401,H401))</f>
        <v>0.25</v>
      </c>
      <c r="K401" s="129" t="n">
        <f aca="false">G401*J401*'Fleet Build'!$K$58/1000000</f>
        <v>0.0602772738513227</v>
      </c>
    </row>
    <row r="402" customFormat="false" ht="15" hidden="false" customHeight="false" outlineLevel="0" collapsed="false">
      <c r="B402" s="125" t="str">
        <f aca="false">'Fleet Build'!B37</f>
        <v>Oceania Nautica</v>
      </c>
      <c r="C402" s="125" t="str">
        <f aca="false">'Fleet Build'!C37</f>
        <v>Oceania</v>
      </c>
      <c r="D402" s="9" t="s">
        <v>203</v>
      </c>
      <c r="E402" s="111" t="n">
        <f aca="false">M$6</f>
        <v>2027.25</v>
      </c>
      <c r="F402" s="111" t="n">
        <f aca="false">E402+0.25</f>
        <v>2027.5</v>
      </c>
      <c r="G402" s="126" t="n">
        <f aca="false">'Fleet Build'!E37</f>
        <v>676.673609044927</v>
      </c>
      <c r="H402" s="127" t="n">
        <f aca="false">'Fleet Build'!F37</f>
        <v>2000</v>
      </c>
      <c r="I402" s="127" t="n">
        <f aca="false">'Fleet Build'!G37</f>
        <v>2099</v>
      </c>
      <c r="J402" s="128" t="n">
        <f aca="false">MAX(0,MIN(F402,I402)-MAX(E402,H402))</f>
        <v>0.25</v>
      </c>
      <c r="K402" s="129" t="n">
        <f aca="false">G402*J402*'Fleet Build'!$K$58/1000000</f>
        <v>0.0602772738513227</v>
      </c>
    </row>
    <row r="403" customFormat="false" ht="15" hidden="false" customHeight="false" outlineLevel="0" collapsed="false">
      <c r="B403" s="125" t="str">
        <f aca="false">'Fleet Build'!B37</f>
        <v>Oceania Nautica</v>
      </c>
      <c r="C403" s="125" t="str">
        <f aca="false">'Fleet Build'!C37</f>
        <v>Oceania</v>
      </c>
      <c r="D403" s="9" t="s">
        <v>204</v>
      </c>
      <c r="E403" s="111" t="n">
        <f aca="false">N$6</f>
        <v>2027.5</v>
      </c>
      <c r="F403" s="111" t="n">
        <f aca="false">E403+0.25</f>
        <v>2027.75</v>
      </c>
      <c r="G403" s="126" t="n">
        <f aca="false">'Fleet Build'!E37</f>
        <v>676.673609044927</v>
      </c>
      <c r="H403" s="127" t="n">
        <f aca="false">'Fleet Build'!F37</f>
        <v>2000</v>
      </c>
      <c r="I403" s="127" t="n">
        <f aca="false">'Fleet Build'!G37</f>
        <v>2099</v>
      </c>
      <c r="J403" s="128" t="n">
        <f aca="false">MAX(0,MIN(F403,I403)-MAX(E403,H403))</f>
        <v>0.25</v>
      </c>
      <c r="K403" s="129" t="n">
        <f aca="false">G403*J403*'Fleet Build'!$K$58/1000000</f>
        <v>0.0602772738513227</v>
      </c>
    </row>
    <row r="404" customFormat="false" ht="15" hidden="false" customHeight="false" outlineLevel="0" collapsed="false">
      <c r="B404" s="125" t="str">
        <f aca="false">'Fleet Build'!B37</f>
        <v>Oceania Nautica</v>
      </c>
      <c r="C404" s="125" t="str">
        <f aca="false">'Fleet Build'!C37</f>
        <v>Oceania</v>
      </c>
      <c r="D404" s="9" t="s">
        <v>205</v>
      </c>
      <c r="E404" s="111" t="n">
        <f aca="false">O$6</f>
        <v>2027.75</v>
      </c>
      <c r="F404" s="111" t="n">
        <f aca="false">E404+0.25</f>
        <v>2028</v>
      </c>
      <c r="G404" s="126" t="n">
        <f aca="false">'Fleet Build'!E37</f>
        <v>676.673609044927</v>
      </c>
      <c r="H404" s="127" t="n">
        <f aca="false">'Fleet Build'!F37</f>
        <v>2000</v>
      </c>
      <c r="I404" s="127" t="n">
        <f aca="false">'Fleet Build'!G37</f>
        <v>2099</v>
      </c>
      <c r="J404" s="128" t="n">
        <f aca="false">MAX(0,MIN(F404,I404)-MAX(E404,H404))</f>
        <v>0.25</v>
      </c>
      <c r="K404" s="129" t="n">
        <f aca="false">G404*J404*'Fleet Build'!$K$58/1000000</f>
        <v>0.0602772738513227</v>
      </c>
    </row>
    <row r="405" customFormat="false" ht="15" hidden="false" customHeight="false" outlineLevel="0" collapsed="false">
      <c r="B405" s="125" t="str">
        <f aca="false">'Fleet Build'!B38</f>
        <v>Oceania Regatta</v>
      </c>
      <c r="C405" s="125" t="str">
        <f aca="false">'Fleet Build'!C38</f>
        <v>Oceania</v>
      </c>
      <c r="D405" s="9" t="s">
        <v>617</v>
      </c>
      <c r="E405" s="111" t="n">
        <f aca="false">D$6</f>
        <v>2025</v>
      </c>
      <c r="F405" s="111" t="n">
        <f aca="false">E405+0.25</f>
        <v>2025.25</v>
      </c>
      <c r="G405" s="126" t="n">
        <f aca="false">'Fleet Build'!E38</f>
        <v>676.673609044927</v>
      </c>
      <c r="H405" s="127" t="n">
        <f aca="false">'Fleet Build'!F38</f>
        <v>2000</v>
      </c>
      <c r="I405" s="127" t="n">
        <f aca="false">'Fleet Build'!G38</f>
        <v>2099</v>
      </c>
      <c r="J405" s="128" t="n">
        <f aca="false">MAX(0,MIN(F405,I405)-MAX(E405,H405))</f>
        <v>0.25</v>
      </c>
      <c r="K405" s="129" t="n">
        <f aca="false">G405*J405*'Fleet Build'!$K$58/1000000</f>
        <v>0.0602772738513227</v>
      </c>
    </row>
    <row r="406" customFormat="false" ht="15" hidden="false" customHeight="false" outlineLevel="0" collapsed="false">
      <c r="B406" s="125" t="str">
        <f aca="false">'Fleet Build'!B38</f>
        <v>Oceania Regatta</v>
      </c>
      <c r="C406" s="125" t="str">
        <f aca="false">'Fleet Build'!C38</f>
        <v>Oceania</v>
      </c>
      <c r="D406" s="9" t="s">
        <v>618</v>
      </c>
      <c r="E406" s="111" t="n">
        <f aca="false">E$6</f>
        <v>2025.25</v>
      </c>
      <c r="F406" s="111" t="n">
        <f aca="false">E406+0.25</f>
        <v>2025.5</v>
      </c>
      <c r="G406" s="126" t="n">
        <f aca="false">'Fleet Build'!E38</f>
        <v>676.673609044927</v>
      </c>
      <c r="H406" s="127" t="n">
        <f aca="false">'Fleet Build'!F38</f>
        <v>2000</v>
      </c>
      <c r="I406" s="127" t="n">
        <f aca="false">'Fleet Build'!G38</f>
        <v>2099</v>
      </c>
      <c r="J406" s="128" t="n">
        <f aca="false">MAX(0,MIN(F406,I406)-MAX(E406,H406))</f>
        <v>0.25</v>
      </c>
      <c r="K406" s="129" t="n">
        <f aca="false">G406*J406*'Fleet Build'!$K$58/1000000</f>
        <v>0.0602772738513227</v>
      </c>
    </row>
    <row r="407" customFormat="false" ht="15" hidden="false" customHeight="false" outlineLevel="0" collapsed="false">
      <c r="B407" s="125" t="str">
        <f aca="false">'Fleet Build'!B38</f>
        <v>Oceania Regatta</v>
      </c>
      <c r="C407" s="125" t="str">
        <f aca="false">'Fleet Build'!C38</f>
        <v>Oceania</v>
      </c>
      <c r="D407" s="9" t="s">
        <v>619</v>
      </c>
      <c r="E407" s="111" t="n">
        <f aca="false">F$6</f>
        <v>2025.5</v>
      </c>
      <c r="F407" s="111" t="n">
        <f aca="false">E407+0.25</f>
        <v>2025.75</v>
      </c>
      <c r="G407" s="126" t="n">
        <f aca="false">'Fleet Build'!E38</f>
        <v>676.673609044927</v>
      </c>
      <c r="H407" s="127" t="n">
        <f aca="false">'Fleet Build'!F38</f>
        <v>2000</v>
      </c>
      <c r="I407" s="127" t="n">
        <f aca="false">'Fleet Build'!G38</f>
        <v>2099</v>
      </c>
      <c r="J407" s="128" t="n">
        <f aca="false">MAX(0,MIN(F407,I407)-MAX(E407,H407))</f>
        <v>0.25</v>
      </c>
      <c r="K407" s="129" t="n">
        <f aca="false">G407*J407*'Fleet Build'!$K$58/1000000</f>
        <v>0.0602772738513227</v>
      </c>
    </row>
    <row r="408" customFormat="false" ht="15" hidden="false" customHeight="false" outlineLevel="0" collapsed="false">
      <c r="B408" s="125" t="str">
        <f aca="false">'Fleet Build'!B38</f>
        <v>Oceania Regatta</v>
      </c>
      <c r="C408" s="125" t="str">
        <f aca="false">'Fleet Build'!C38</f>
        <v>Oceania</v>
      </c>
      <c r="D408" s="9" t="s">
        <v>620</v>
      </c>
      <c r="E408" s="111" t="n">
        <f aca="false">G$6</f>
        <v>2025.75</v>
      </c>
      <c r="F408" s="111" t="n">
        <f aca="false">E408+0.25</f>
        <v>2026</v>
      </c>
      <c r="G408" s="126" t="n">
        <f aca="false">'Fleet Build'!E38</f>
        <v>676.673609044927</v>
      </c>
      <c r="H408" s="127" t="n">
        <f aca="false">'Fleet Build'!F38</f>
        <v>2000</v>
      </c>
      <c r="I408" s="127" t="n">
        <f aca="false">'Fleet Build'!G38</f>
        <v>2099</v>
      </c>
      <c r="J408" s="128" t="n">
        <f aca="false">MAX(0,MIN(F408,I408)-MAX(E408,H408))</f>
        <v>0.25</v>
      </c>
      <c r="K408" s="129" t="n">
        <f aca="false">G408*J408*'Fleet Build'!$K$58/1000000</f>
        <v>0.0602772738513227</v>
      </c>
    </row>
    <row r="409" customFormat="false" ht="15" hidden="false" customHeight="false" outlineLevel="0" collapsed="false">
      <c r="B409" s="125" t="str">
        <f aca="false">'Fleet Build'!B38</f>
        <v>Oceania Regatta</v>
      </c>
      <c r="C409" s="125" t="str">
        <f aca="false">'Fleet Build'!C38</f>
        <v>Oceania</v>
      </c>
      <c r="D409" s="9" t="s">
        <v>621</v>
      </c>
      <c r="E409" s="111" t="n">
        <f aca="false">H$6</f>
        <v>2026</v>
      </c>
      <c r="F409" s="111" t="n">
        <f aca="false">E409+0.25</f>
        <v>2026.25</v>
      </c>
      <c r="G409" s="126" t="n">
        <f aca="false">'Fleet Build'!E38</f>
        <v>676.673609044927</v>
      </c>
      <c r="H409" s="127" t="n">
        <f aca="false">'Fleet Build'!F38</f>
        <v>2000</v>
      </c>
      <c r="I409" s="127" t="n">
        <f aca="false">'Fleet Build'!G38</f>
        <v>2099</v>
      </c>
      <c r="J409" s="128" t="n">
        <f aca="false">MAX(0,MIN(F409,I409)-MAX(E409,H409))</f>
        <v>0.25</v>
      </c>
      <c r="K409" s="129" t="n">
        <f aca="false">G409*J409*'Fleet Build'!$K$58/1000000</f>
        <v>0.0602772738513227</v>
      </c>
    </row>
    <row r="410" customFormat="false" ht="15" hidden="false" customHeight="false" outlineLevel="0" collapsed="false">
      <c r="B410" s="125" t="str">
        <f aca="false">'Fleet Build'!B38</f>
        <v>Oceania Regatta</v>
      </c>
      <c r="C410" s="125" t="str">
        <f aca="false">'Fleet Build'!C38</f>
        <v>Oceania</v>
      </c>
      <c r="D410" s="9" t="s">
        <v>622</v>
      </c>
      <c r="E410" s="111" t="n">
        <f aca="false">I$6</f>
        <v>2026.25</v>
      </c>
      <c r="F410" s="111" t="n">
        <f aca="false">E410+0.25</f>
        <v>2026.5</v>
      </c>
      <c r="G410" s="126" t="n">
        <f aca="false">'Fleet Build'!E38</f>
        <v>676.673609044927</v>
      </c>
      <c r="H410" s="127" t="n">
        <f aca="false">'Fleet Build'!F38</f>
        <v>2000</v>
      </c>
      <c r="I410" s="127" t="n">
        <f aca="false">'Fleet Build'!G38</f>
        <v>2099</v>
      </c>
      <c r="J410" s="128" t="n">
        <f aca="false">MAX(0,MIN(F410,I410)-MAX(E410,H410))</f>
        <v>0.25</v>
      </c>
      <c r="K410" s="129" t="n">
        <f aca="false">G410*J410*'Fleet Build'!$K$58/1000000</f>
        <v>0.0602772738513227</v>
      </c>
    </row>
    <row r="411" customFormat="false" ht="15" hidden="false" customHeight="false" outlineLevel="0" collapsed="false">
      <c r="B411" s="125" t="str">
        <f aca="false">'Fleet Build'!B38</f>
        <v>Oceania Regatta</v>
      </c>
      <c r="C411" s="125" t="str">
        <f aca="false">'Fleet Build'!C38</f>
        <v>Oceania</v>
      </c>
      <c r="D411" s="9" t="s">
        <v>200</v>
      </c>
      <c r="E411" s="111" t="n">
        <f aca="false">J$6</f>
        <v>2026.5</v>
      </c>
      <c r="F411" s="111" t="n">
        <f aca="false">E411+0.25</f>
        <v>2026.75</v>
      </c>
      <c r="G411" s="126" t="n">
        <f aca="false">'Fleet Build'!E38</f>
        <v>676.673609044927</v>
      </c>
      <c r="H411" s="127" t="n">
        <f aca="false">'Fleet Build'!F38</f>
        <v>2000</v>
      </c>
      <c r="I411" s="127" t="n">
        <f aca="false">'Fleet Build'!G38</f>
        <v>2099</v>
      </c>
      <c r="J411" s="128" t="n">
        <f aca="false">MAX(0,MIN(F411,I411)-MAX(E411,H411))</f>
        <v>0.25</v>
      </c>
      <c r="K411" s="129" t="n">
        <f aca="false">G411*J411*'Fleet Build'!$K$58/1000000</f>
        <v>0.0602772738513227</v>
      </c>
    </row>
    <row r="412" customFormat="false" ht="15" hidden="false" customHeight="false" outlineLevel="0" collapsed="false">
      <c r="B412" s="125" t="str">
        <f aca="false">'Fleet Build'!B38</f>
        <v>Oceania Regatta</v>
      </c>
      <c r="C412" s="125" t="str">
        <f aca="false">'Fleet Build'!C38</f>
        <v>Oceania</v>
      </c>
      <c r="D412" s="9" t="s">
        <v>201</v>
      </c>
      <c r="E412" s="111" t="n">
        <f aca="false">K$6</f>
        <v>2026.75</v>
      </c>
      <c r="F412" s="111" t="n">
        <f aca="false">E412+0.25</f>
        <v>2027</v>
      </c>
      <c r="G412" s="126" t="n">
        <f aca="false">'Fleet Build'!E38</f>
        <v>676.673609044927</v>
      </c>
      <c r="H412" s="127" t="n">
        <f aca="false">'Fleet Build'!F38</f>
        <v>2000</v>
      </c>
      <c r="I412" s="127" t="n">
        <f aca="false">'Fleet Build'!G38</f>
        <v>2099</v>
      </c>
      <c r="J412" s="128" t="n">
        <f aca="false">MAX(0,MIN(F412,I412)-MAX(E412,H412))</f>
        <v>0.25</v>
      </c>
      <c r="K412" s="129" t="n">
        <f aca="false">G412*J412*'Fleet Build'!$K$58/1000000</f>
        <v>0.0602772738513227</v>
      </c>
    </row>
    <row r="413" customFormat="false" ht="15" hidden="false" customHeight="false" outlineLevel="0" collapsed="false">
      <c r="B413" s="125" t="str">
        <f aca="false">'Fleet Build'!B38</f>
        <v>Oceania Regatta</v>
      </c>
      <c r="C413" s="125" t="str">
        <f aca="false">'Fleet Build'!C38</f>
        <v>Oceania</v>
      </c>
      <c r="D413" s="9" t="s">
        <v>202</v>
      </c>
      <c r="E413" s="111" t="n">
        <f aca="false">L$6</f>
        <v>2027</v>
      </c>
      <c r="F413" s="111" t="n">
        <f aca="false">E413+0.25</f>
        <v>2027.25</v>
      </c>
      <c r="G413" s="126" t="n">
        <f aca="false">'Fleet Build'!E38</f>
        <v>676.673609044927</v>
      </c>
      <c r="H413" s="127" t="n">
        <f aca="false">'Fleet Build'!F38</f>
        <v>2000</v>
      </c>
      <c r="I413" s="127" t="n">
        <f aca="false">'Fleet Build'!G38</f>
        <v>2099</v>
      </c>
      <c r="J413" s="128" t="n">
        <f aca="false">MAX(0,MIN(F413,I413)-MAX(E413,H413))</f>
        <v>0.25</v>
      </c>
      <c r="K413" s="129" t="n">
        <f aca="false">G413*J413*'Fleet Build'!$K$58/1000000</f>
        <v>0.0602772738513227</v>
      </c>
    </row>
    <row r="414" customFormat="false" ht="15" hidden="false" customHeight="false" outlineLevel="0" collapsed="false">
      <c r="B414" s="125" t="str">
        <f aca="false">'Fleet Build'!B38</f>
        <v>Oceania Regatta</v>
      </c>
      <c r="C414" s="125" t="str">
        <f aca="false">'Fleet Build'!C38</f>
        <v>Oceania</v>
      </c>
      <c r="D414" s="9" t="s">
        <v>203</v>
      </c>
      <c r="E414" s="111" t="n">
        <f aca="false">M$6</f>
        <v>2027.25</v>
      </c>
      <c r="F414" s="111" t="n">
        <f aca="false">E414+0.25</f>
        <v>2027.5</v>
      </c>
      <c r="G414" s="126" t="n">
        <f aca="false">'Fleet Build'!E38</f>
        <v>676.673609044927</v>
      </c>
      <c r="H414" s="127" t="n">
        <f aca="false">'Fleet Build'!F38</f>
        <v>2000</v>
      </c>
      <c r="I414" s="127" t="n">
        <f aca="false">'Fleet Build'!G38</f>
        <v>2099</v>
      </c>
      <c r="J414" s="128" t="n">
        <f aca="false">MAX(0,MIN(F414,I414)-MAX(E414,H414))</f>
        <v>0.25</v>
      </c>
      <c r="K414" s="129" t="n">
        <f aca="false">G414*J414*'Fleet Build'!$K$58/1000000</f>
        <v>0.0602772738513227</v>
      </c>
    </row>
    <row r="415" customFormat="false" ht="15" hidden="false" customHeight="false" outlineLevel="0" collapsed="false">
      <c r="B415" s="125" t="str">
        <f aca="false">'Fleet Build'!B38</f>
        <v>Oceania Regatta</v>
      </c>
      <c r="C415" s="125" t="str">
        <f aca="false">'Fleet Build'!C38</f>
        <v>Oceania</v>
      </c>
      <c r="D415" s="9" t="s">
        <v>204</v>
      </c>
      <c r="E415" s="111" t="n">
        <f aca="false">N$6</f>
        <v>2027.5</v>
      </c>
      <c r="F415" s="111" t="n">
        <f aca="false">E415+0.25</f>
        <v>2027.75</v>
      </c>
      <c r="G415" s="126" t="n">
        <f aca="false">'Fleet Build'!E38</f>
        <v>676.673609044927</v>
      </c>
      <c r="H415" s="127" t="n">
        <f aca="false">'Fleet Build'!F38</f>
        <v>2000</v>
      </c>
      <c r="I415" s="127" t="n">
        <f aca="false">'Fleet Build'!G38</f>
        <v>2099</v>
      </c>
      <c r="J415" s="128" t="n">
        <f aca="false">MAX(0,MIN(F415,I415)-MAX(E415,H415))</f>
        <v>0.25</v>
      </c>
      <c r="K415" s="129" t="n">
        <f aca="false">G415*J415*'Fleet Build'!$K$58/1000000</f>
        <v>0.0602772738513227</v>
      </c>
    </row>
    <row r="416" customFormat="false" ht="15" hidden="false" customHeight="false" outlineLevel="0" collapsed="false">
      <c r="B416" s="125" t="str">
        <f aca="false">'Fleet Build'!B38</f>
        <v>Oceania Regatta</v>
      </c>
      <c r="C416" s="125" t="str">
        <f aca="false">'Fleet Build'!C38</f>
        <v>Oceania</v>
      </c>
      <c r="D416" s="9" t="s">
        <v>205</v>
      </c>
      <c r="E416" s="111" t="n">
        <f aca="false">O$6</f>
        <v>2027.75</v>
      </c>
      <c r="F416" s="111" t="n">
        <f aca="false">E416+0.25</f>
        <v>2028</v>
      </c>
      <c r="G416" s="126" t="n">
        <f aca="false">'Fleet Build'!E38</f>
        <v>676.673609044927</v>
      </c>
      <c r="H416" s="127" t="n">
        <f aca="false">'Fleet Build'!F38</f>
        <v>2000</v>
      </c>
      <c r="I416" s="127" t="n">
        <f aca="false">'Fleet Build'!G38</f>
        <v>2099</v>
      </c>
      <c r="J416" s="128" t="n">
        <f aca="false">MAX(0,MIN(F416,I416)-MAX(E416,H416))</f>
        <v>0.25</v>
      </c>
      <c r="K416" s="129" t="n">
        <f aca="false">G416*J416*'Fleet Build'!$K$58/1000000</f>
        <v>0.0602772738513227</v>
      </c>
    </row>
    <row r="417" customFormat="false" ht="15" hidden="false" customHeight="false" outlineLevel="0" collapsed="false">
      <c r="B417" s="125" t="str">
        <f aca="false">'Fleet Build'!B39</f>
        <v>Oceania Insignia</v>
      </c>
      <c r="C417" s="125" t="str">
        <f aca="false">'Fleet Build'!C39</f>
        <v>Oceania</v>
      </c>
      <c r="D417" s="9" t="s">
        <v>617</v>
      </c>
      <c r="E417" s="111" t="n">
        <f aca="false">D$6</f>
        <v>2025</v>
      </c>
      <c r="F417" s="111" t="n">
        <f aca="false">E417+0.25</f>
        <v>2025.25</v>
      </c>
      <c r="G417" s="126" t="n">
        <f aca="false">'Fleet Build'!E39</f>
        <v>676.673609044927</v>
      </c>
      <c r="H417" s="127" t="n">
        <f aca="false">'Fleet Build'!F39</f>
        <v>2000</v>
      </c>
      <c r="I417" s="127" t="n">
        <f aca="false">'Fleet Build'!G39</f>
        <v>2099</v>
      </c>
      <c r="J417" s="128" t="n">
        <f aca="false">MAX(0,MIN(F417,I417)-MAX(E417,H417))</f>
        <v>0.25</v>
      </c>
      <c r="K417" s="129" t="n">
        <f aca="false">G417*J417*'Fleet Build'!$K$58/1000000</f>
        <v>0.0602772738513227</v>
      </c>
    </row>
    <row r="418" customFormat="false" ht="15" hidden="false" customHeight="false" outlineLevel="0" collapsed="false">
      <c r="B418" s="125" t="str">
        <f aca="false">'Fleet Build'!B39</f>
        <v>Oceania Insignia</v>
      </c>
      <c r="C418" s="125" t="str">
        <f aca="false">'Fleet Build'!C39</f>
        <v>Oceania</v>
      </c>
      <c r="D418" s="9" t="s">
        <v>618</v>
      </c>
      <c r="E418" s="111" t="n">
        <f aca="false">E$6</f>
        <v>2025.25</v>
      </c>
      <c r="F418" s="111" t="n">
        <f aca="false">E418+0.25</f>
        <v>2025.5</v>
      </c>
      <c r="G418" s="126" t="n">
        <f aca="false">'Fleet Build'!E39</f>
        <v>676.673609044927</v>
      </c>
      <c r="H418" s="127" t="n">
        <f aca="false">'Fleet Build'!F39</f>
        <v>2000</v>
      </c>
      <c r="I418" s="127" t="n">
        <f aca="false">'Fleet Build'!G39</f>
        <v>2099</v>
      </c>
      <c r="J418" s="128" t="n">
        <f aca="false">MAX(0,MIN(F418,I418)-MAX(E418,H418))</f>
        <v>0.25</v>
      </c>
      <c r="K418" s="129" t="n">
        <f aca="false">G418*J418*'Fleet Build'!$K$58/1000000</f>
        <v>0.0602772738513227</v>
      </c>
    </row>
    <row r="419" customFormat="false" ht="15" hidden="false" customHeight="false" outlineLevel="0" collapsed="false">
      <c r="B419" s="125" t="str">
        <f aca="false">'Fleet Build'!B39</f>
        <v>Oceania Insignia</v>
      </c>
      <c r="C419" s="125" t="str">
        <f aca="false">'Fleet Build'!C39</f>
        <v>Oceania</v>
      </c>
      <c r="D419" s="9" t="s">
        <v>619</v>
      </c>
      <c r="E419" s="111" t="n">
        <f aca="false">F$6</f>
        <v>2025.5</v>
      </c>
      <c r="F419" s="111" t="n">
        <f aca="false">E419+0.25</f>
        <v>2025.75</v>
      </c>
      <c r="G419" s="126" t="n">
        <f aca="false">'Fleet Build'!E39</f>
        <v>676.673609044927</v>
      </c>
      <c r="H419" s="127" t="n">
        <f aca="false">'Fleet Build'!F39</f>
        <v>2000</v>
      </c>
      <c r="I419" s="127" t="n">
        <f aca="false">'Fleet Build'!G39</f>
        <v>2099</v>
      </c>
      <c r="J419" s="128" t="n">
        <f aca="false">MAX(0,MIN(F419,I419)-MAX(E419,H419))</f>
        <v>0.25</v>
      </c>
      <c r="K419" s="129" t="n">
        <f aca="false">G419*J419*'Fleet Build'!$K$58/1000000</f>
        <v>0.0602772738513227</v>
      </c>
    </row>
    <row r="420" customFormat="false" ht="15" hidden="false" customHeight="false" outlineLevel="0" collapsed="false">
      <c r="B420" s="125" t="str">
        <f aca="false">'Fleet Build'!B39</f>
        <v>Oceania Insignia</v>
      </c>
      <c r="C420" s="125" t="str">
        <f aca="false">'Fleet Build'!C39</f>
        <v>Oceania</v>
      </c>
      <c r="D420" s="9" t="s">
        <v>620</v>
      </c>
      <c r="E420" s="111" t="n">
        <f aca="false">G$6</f>
        <v>2025.75</v>
      </c>
      <c r="F420" s="111" t="n">
        <f aca="false">E420+0.25</f>
        <v>2026</v>
      </c>
      <c r="G420" s="126" t="n">
        <f aca="false">'Fleet Build'!E39</f>
        <v>676.673609044927</v>
      </c>
      <c r="H420" s="127" t="n">
        <f aca="false">'Fleet Build'!F39</f>
        <v>2000</v>
      </c>
      <c r="I420" s="127" t="n">
        <f aca="false">'Fleet Build'!G39</f>
        <v>2099</v>
      </c>
      <c r="J420" s="128" t="n">
        <f aca="false">MAX(0,MIN(F420,I420)-MAX(E420,H420))</f>
        <v>0.25</v>
      </c>
      <c r="K420" s="129" t="n">
        <f aca="false">G420*J420*'Fleet Build'!$K$58/1000000</f>
        <v>0.0602772738513227</v>
      </c>
    </row>
    <row r="421" customFormat="false" ht="15" hidden="false" customHeight="false" outlineLevel="0" collapsed="false">
      <c r="B421" s="125" t="str">
        <f aca="false">'Fleet Build'!B39</f>
        <v>Oceania Insignia</v>
      </c>
      <c r="C421" s="125" t="str">
        <f aca="false">'Fleet Build'!C39</f>
        <v>Oceania</v>
      </c>
      <c r="D421" s="9" t="s">
        <v>621</v>
      </c>
      <c r="E421" s="111" t="n">
        <f aca="false">H$6</f>
        <v>2026</v>
      </c>
      <c r="F421" s="111" t="n">
        <f aca="false">E421+0.25</f>
        <v>2026.25</v>
      </c>
      <c r="G421" s="126" t="n">
        <f aca="false">'Fleet Build'!E39</f>
        <v>676.673609044927</v>
      </c>
      <c r="H421" s="127" t="n">
        <f aca="false">'Fleet Build'!F39</f>
        <v>2000</v>
      </c>
      <c r="I421" s="127" t="n">
        <f aca="false">'Fleet Build'!G39</f>
        <v>2099</v>
      </c>
      <c r="J421" s="128" t="n">
        <f aca="false">MAX(0,MIN(F421,I421)-MAX(E421,H421))</f>
        <v>0.25</v>
      </c>
      <c r="K421" s="129" t="n">
        <f aca="false">G421*J421*'Fleet Build'!$K$58/1000000</f>
        <v>0.0602772738513227</v>
      </c>
    </row>
    <row r="422" customFormat="false" ht="15" hidden="false" customHeight="false" outlineLevel="0" collapsed="false">
      <c r="B422" s="125" t="str">
        <f aca="false">'Fleet Build'!B39</f>
        <v>Oceania Insignia</v>
      </c>
      <c r="C422" s="125" t="str">
        <f aca="false">'Fleet Build'!C39</f>
        <v>Oceania</v>
      </c>
      <c r="D422" s="9" t="s">
        <v>622</v>
      </c>
      <c r="E422" s="111" t="n">
        <f aca="false">I$6</f>
        <v>2026.25</v>
      </c>
      <c r="F422" s="111" t="n">
        <f aca="false">E422+0.25</f>
        <v>2026.5</v>
      </c>
      <c r="G422" s="126" t="n">
        <f aca="false">'Fleet Build'!E39</f>
        <v>676.673609044927</v>
      </c>
      <c r="H422" s="127" t="n">
        <f aca="false">'Fleet Build'!F39</f>
        <v>2000</v>
      </c>
      <c r="I422" s="127" t="n">
        <f aca="false">'Fleet Build'!G39</f>
        <v>2099</v>
      </c>
      <c r="J422" s="128" t="n">
        <f aca="false">MAX(0,MIN(F422,I422)-MAX(E422,H422))</f>
        <v>0.25</v>
      </c>
      <c r="K422" s="129" t="n">
        <f aca="false">G422*J422*'Fleet Build'!$K$58/1000000</f>
        <v>0.0602772738513227</v>
      </c>
    </row>
    <row r="423" customFormat="false" ht="15" hidden="false" customHeight="false" outlineLevel="0" collapsed="false">
      <c r="B423" s="125" t="str">
        <f aca="false">'Fleet Build'!B39</f>
        <v>Oceania Insignia</v>
      </c>
      <c r="C423" s="125" t="str">
        <f aca="false">'Fleet Build'!C39</f>
        <v>Oceania</v>
      </c>
      <c r="D423" s="9" t="s">
        <v>200</v>
      </c>
      <c r="E423" s="111" t="n">
        <f aca="false">J$6</f>
        <v>2026.5</v>
      </c>
      <c r="F423" s="111" t="n">
        <f aca="false">E423+0.25</f>
        <v>2026.75</v>
      </c>
      <c r="G423" s="126" t="n">
        <f aca="false">'Fleet Build'!E39</f>
        <v>676.673609044927</v>
      </c>
      <c r="H423" s="127" t="n">
        <f aca="false">'Fleet Build'!F39</f>
        <v>2000</v>
      </c>
      <c r="I423" s="127" t="n">
        <f aca="false">'Fleet Build'!G39</f>
        <v>2099</v>
      </c>
      <c r="J423" s="128" t="n">
        <f aca="false">MAX(0,MIN(F423,I423)-MAX(E423,H423))</f>
        <v>0.25</v>
      </c>
      <c r="K423" s="129" t="n">
        <f aca="false">G423*J423*'Fleet Build'!$K$58/1000000</f>
        <v>0.0602772738513227</v>
      </c>
    </row>
    <row r="424" customFormat="false" ht="15" hidden="false" customHeight="false" outlineLevel="0" collapsed="false">
      <c r="B424" s="125" t="str">
        <f aca="false">'Fleet Build'!B39</f>
        <v>Oceania Insignia</v>
      </c>
      <c r="C424" s="125" t="str">
        <f aca="false">'Fleet Build'!C39</f>
        <v>Oceania</v>
      </c>
      <c r="D424" s="9" t="s">
        <v>201</v>
      </c>
      <c r="E424" s="111" t="n">
        <f aca="false">K$6</f>
        <v>2026.75</v>
      </c>
      <c r="F424" s="111" t="n">
        <f aca="false">E424+0.25</f>
        <v>2027</v>
      </c>
      <c r="G424" s="126" t="n">
        <f aca="false">'Fleet Build'!E39</f>
        <v>676.673609044927</v>
      </c>
      <c r="H424" s="127" t="n">
        <f aca="false">'Fleet Build'!F39</f>
        <v>2000</v>
      </c>
      <c r="I424" s="127" t="n">
        <f aca="false">'Fleet Build'!G39</f>
        <v>2099</v>
      </c>
      <c r="J424" s="128" t="n">
        <f aca="false">MAX(0,MIN(F424,I424)-MAX(E424,H424))</f>
        <v>0.25</v>
      </c>
      <c r="K424" s="129" t="n">
        <f aca="false">G424*J424*'Fleet Build'!$K$58/1000000</f>
        <v>0.0602772738513227</v>
      </c>
    </row>
    <row r="425" customFormat="false" ht="15" hidden="false" customHeight="false" outlineLevel="0" collapsed="false">
      <c r="B425" s="125" t="str">
        <f aca="false">'Fleet Build'!B39</f>
        <v>Oceania Insignia</v>
      </c>
      <c r="C425" s="125" t="str">
        <f aca="false">'Fleet Build'!C39</f>
        <v>Oceania</v>
      </c>
      <c r="D425" s="9" t="s">
        <v>202</v>
      </c>
      <c r="E425" s="111" t="n">
        <f aca="false">L$6</f>
        <v>2027</v>
      </c>
      <c r="F425" s="111" t="n">
        <f aca="false">E425+0.25</f>
        <v>2027.25</v>
      </c>
      <c r="G425" s="126" t="n">
        <f aca="false">'Fleet Build'!E39</f>
        <v>676.673609044927</v>
      </c>
      <c r="H425" s="127" t="n">
        <f aca="false">'Fleet Build'!F39</f>
        <v>2000</v>
      </c>
      <c r="I425" s="127" t="n">
        <f aca="false">'Fleet Build'!G39</f>
        <v>2099</v>
      </c>
      <c r="J425" s="128" t="n">
        <f aca="false">MAX(0,MIN(F425,I425)-MAX(E425,H425))</f>
        <v>0.25</v>
      </c>
      <c r="K425" s="129" t="n">
        <f aca="false">G425*J425*'Fleet Build'!$K$58/1000000</f>
        <v>0.0602772738513227</v>
      </c>
    </row>
    <row r="426" customFormat="false" ht="15" hidden="false" customHeight="false" outlineLevel="0" collapsed="false">
      <c r="B426" s="125" t="str">
        <f aca="false">'Fleet Build'!B39</f>
        <v>Oceania Insignia</v>
      </c>
      <c r="C426" s="125" t="str">
        <f aca="false">'Fleet Build'!C39</f>
        <v>Oceania</v>
      </c>
      <c r="D426" s="9" t="s">
        <v>203</v>
      </c>
      <c r="E426" s="111" t="n">
        <f aca="false">M$6</f>
        <v>2027.25</v>
      </c>
      <c r="F426" s="111" t="n">
        <f aca="false">E426+0.25</f>
        <v>2027.5</v>
      </c>
      <c r="G426" s="126" t="n">
        <f aca="false">'Fleet Build'!E39</f>
        <v>676.673609044927</v>
      </c>
      <c r="H426" s="127" t="n">
        <f aca="false">'Fleet Build'!F39</f>
        <v>2000</v>
      </c>
      <c r="I426" s="127" t="n">
        <f aca="false">'Fleet Build'!G39</f>
        <v>2099</v>
      </c>
      <c r="J426" s="128" t="n">
        <f aca="false">MAX(0,MIN(F426,I426)-MAX(E426,H426))</f>
        <v>0.25</v>
      </c>
      <c r="K426" s="129" t="n">
        <f aca="false">G426*J426*'Fleet Build'!$K$58/1000000</f>
        <v>0.0602772738513227</v>
      </c>
    </row>
    <row r="427" customFormat="false" ht="15" hidden="false" customHeight="false" outlineLevel="0" collapsed="false">
      <c r="B427" s="125" t="str">
        <f aca="false">'Fleet Build'!B39</f>
        <v>Oceania Insignia</v>
      </c>
      <c r="C427" s="125" t="str">
        <f aca="false">'Fleet Build'!C39</f>
        <v>Oceania</v>
      </c>
      <c r="D427" s="9" t="s">
        <v>204</v>
      </c>
      <c r="E427" s="111" t="n">
        <f aca="false">N$6</f>
        <v>2027.5</v>
      </c>
      <c r="F427" s="111" t="n">
        <f aca="false">E427+0.25</f>
        <v>2027.75</v>
      </c>
      <c r="G427" s="126" t="n">
        <f aca="false">'Fleet Build'!E39</f>
        <v>676.673609044927</v>
      </c>
      <c r="H427" s="127" t="n">
        <f aca="false">'Fleet Build'!F39</f>
        <v>2000</v>
      </c>
      <c r="I427" s="127" t="n">
        <f aca="false">'Fleet Build'!G39</f>
        <v>2099</v>
      </c>
      <c r="J427" s="128" t="n">
        <f aca="false">MAX(0,MIN(F427,I427)-MAX(E427,H427))</f>
        <v>0.25</v>
      </c>
      <c r="K427" s="129" t="n">
        <f aca="false">G427*J427*'Fleet Build'!$K$58/1000000</f>
        <v>0.0602772738513227</v>
      </c>
    </row>
    <row r="428" customFormat="false" ht="15" hidden="false" customHeight="false" outlineLevel="0" collapsed="false">
      <c r="B428" s="125" t="str">
        <f aca="false">'Fleet Build'!B39</f>
        <v>Oceania Insignia</v>
      </c>
      <c r="C428" s="125" t="str">
        <f aca="false">'Fleet Build'!C39</f>
        <v>Oceania</v>
      </c>
      <c r="D428" s="9" t="s">
        <v>205</v>
      </c>
      <c r="E428" s="111" t="n">
        <f aca="false">O$6</f>
        <v>2027.75</v>
      </c>
      <c r="F428" s="111" t="n">
        <f aca="false">E428+0.25</f>
        <v>2028</v>
      </c>
      <c r="G428" s="126" t="n">
        <f aca="false">'Fleet Build'!E39</f>
        <v>676.673609044927</v>
      </c>
      <c r="H428" s="127" t="n">
        <f aca="false">'Fleet Build'!F39</f>
        <v>2000</v>
      </c>
      <c r="I428" s="127" t="n">
        <f aca="false">'Fleet Build'!G39</f>
        <v>2099</v>
      </c>
      <c r="J428" s="128" t="n">
        <f aca="false">MAX(0,MIN(F428,I428)-MAX(E428,H428))</f>
        <v>0.25</v>
      </c>
      <c r="K428" s="129" t="n">
        <f aca="false">G428*J428*'Fleet Build'!$K$58/1000000</f>
        <v>0.0602772738513227</v>
      </c>
    </row>
    <row r="429" customFormat="false" ht="15" hidden="false" customHeight="false" outlineLevel="0" collapsed="false">
      <c r="B429" s="125" t="str">
        <f aca="false">'Fleet Build'!B40</f>
        <v>Seven Seas Prestige</v>
      </c>
      <c r="C429" s="125" t="str">
        <f aca="false">'Fleet Build'!C40</f>
        <v>Regent</v>
      </c>
      <c r="D429" s="9" t="s">
        <v>617</v>
      </c>
      <c r="E429" s="111" t="n">
        <f aca="false">D$6</f>
        <v>2025</v>
      </c>
      <c r="F429" s="111" t="n">
        <f aca="false">E429+0.25</f>
        <v>2025.25</v>
      </c>
      <c r="G429" s="126" t="n">
        <f aca="false">'Fleet Build'!E40</f>
        <v>822</v>
      </c>
      <c r="H429" s="127" t="n">
        <f aca="false">'Fleet Build'!F40</f>
        <v>2026.96</v>
      </c>
      <c r="I429" s="127" t="n">
        <f aca="false">'Fleet Build'!G40</f>
        <v>2099</v>
      </c>
      <c r="J429" s="128" t="n">
        <f aca="false">MAX(0,MIN(F429,I429)-MAX(E429,H429))</f>
        <v>0</v>
      </c>
      <c r="K429" s="129" t="n">
        <f aca="false">G429*J429*'Fleet Build'!$K$58/1000000</f>
        <v>0</v>
      </c>
    </row>
    <row r="430" customFormat="false" ht="15" hidden="false" customHeight="false" outlineLevel="0" collapsed="false">
      <c r="B430" s="125" t="str">
        <f aca="false">'Fleet Build'!B40</f>
        <v>Seven Seas Prestige</v>
      </c>
      <c r="C430" s="125" t="str">
        <f aca="false">'Fleet Build'!C40</f>
        <v>Regent</v>
      </c>
      <c r="D430" s="9" t="s">
        <v>618</v>
      </c>
      <c r="E430" s="111" t="n">
        <f aca="false">E$6</f>
        <v>2025.25</v>
      </c>
      <c r="F430" s="111" t="n">
        <f aca="false">E430+0.25</f>
        <v>2025.5</v>
      </c>
      <c r="G430" s="126" t="n">
        <f aca="false">'Fleet Build'!E40</f>
        <v>822</v>
      </c>
      <c r="H430" s="127" t="n">
        <f aca="false">'Fleet Build'!F40</f>
        <v>2026.96</v>
      </c>
      <c r="I430" s="127" t="n">
        <f aca="false">'Fleet Build'!G40</f>
        <v>2099</v>
      </c>
      <c r="J430" s="128" t="n">
        <f aca="false">MAX(0,MIN(F430,I430)-MAX(E430,H430))</f>
        <v>0</v>
      </c>
      <c r="K430" s="129" t="n">
        <f aca="false">G430*J430*'Fleet Build'!$K$58/1000000</f>
        <v>0</v>
      </c>
    </row>
    <row r="431" customFormat="false" ht="15" hidden="false" customHeight="false" outlineLevel="0" collapsed="false">
      <c r="B431" s="125" t="str">
        <f aca="false">'Fleet Build'!B40</f>
        <v>Seven Seas Prestige</v>
      </c>
      <c r="C431" s="125" t="str">
        <f aca="false">'Fleet Build'!C40</f>
        <v>Regent</v>
      </c>
      <c r="D431" s="9" t="s">
        <v>619</v>
      </c>
      <c r="E431" s="111" t="n">
        <f aca="false">F$6</f>
        <v>2025.5</v>
      </c>
      <c r="F431" s="111" t="n">
        <f aca="false">E431+0.25</f>
        <v>2025.75</v>
      </c>
      <c r="G431" s="126" t="n">
        <f aca="false">'Fleet Build'!E40</f>
        <v>822</v>
      </c>
      <c r="H431" s="127" t="n">
        <f aca="false">'Fleet Build'!F40</f>
        <v>2026.96</v>
      </c>
      <c r="I431" s="127" t="n">
        <f aca="false">'Fleet Build'!G40</f>
        <v>2099</v>
      </c>
      <c r="J431" s="128" t="n">
        <f aca="false">MAX(0,MIN(F431,I431)-MAX(E431,H431))</f>
        <v>0</v>
      </c>
      <c r="K431" s="129" t="n">
        <f aca="false">G431*J431*'Fleet Build'!$K$58/1000000</f>
        <v>0</v>
      </c>
    </row>
    <row r="432" customFormat="false" ht="15" hidden="false" customHeight="false" outlineLevel="0" collapsed="false">
      <c r="B432" s="125" t="str">
        <f aca="false">'Fleet Build'!B40</f>
        <v>Seven Seas Prestige</v>
      </c>
      <c r="C432" s="125" t="str">
        <f aca="false">'Fleet Build'!C40</f>
        <v>Regent</v>
      </c>
      <c r="D432" s="9" t="s">
        <v>620</v>
      </c>
      <c r="E432" s="111" t="n">
        <f aca="false">G$6</f>
        <v>2025.75</v>
      </c>
      <c r="F432" s="111" t="n">
        <f aca="false">E432+0.25</f>
        <v>2026</v>
      </c>
      <c r="G432" s="126" t="n">
        <f aca="false">'Fleet Build'!E40</f>
        <v>822</v>
      </c>
      <c r="H432" s="127" t="n">
        <f aca="false">'Fleet Build'!F40</f>
        <v>2026.96</v>
      </c>
      <c r="I432" s="127" t="n">
        <f aca="false">'Fleet Build'!G40</f>
        <v>2099</v>
      </c>
      <c r="J432" s="128" t="n">
        <f aca="false">MAX(0,MIN(F432,I432)-MAX(E432,H432))</f>
        <v>0</v>
      </c>
      <c r="K432" s="129" t="n">
        <f aca="false">G432*J432*'Fleet Build'!$K$58/1000000</f>
        <v>0</v>
      </c>
    </row>
    <row r="433" customFormat="false" ht="15" hidden="false" customHeight="false" outlineLevel="0" collapsed="false">
      <c r="B433" s="125" t="str">
        <f aca="false">'Fleet Build'!B40</f>
        <v>Seven Seas Prestige</v>
      </c>
      <c r="C433" s="125" t="str">
        <f aca="false">'Fleet Build'!C40</f>
        <v>Regent</v>
      </c>
      <c r="D433" s="9" t="s">
        <v>621</v>
      </c>
      <c r="E433" s="111" t="n">
        <f aca="false">H$6</f>
        <v>2026</v>
      </c>
      <c r="F433" s="111" t="n">
        <f aca="false">E433+0.25</f>
        <v>2026.25</v>
      </c>
      <c r="G433" s="126" t="n">
        <f aca="false">'Fleet Build'!E40</f>
        <v>822</v>
      </c>
      <c r="H433" s="127" t="n">
        <f aca="false">'Fleet Build'!F40</f>
        <v>2026.96</v>
      </c>
      <c r="I433" s="127" t="n">
        <f aca="false">'Fleet Build'!G40</f>
        <v>2099</v>
      </c>
      <c r="J433" s="128" t="n">
        <f aca="false">MAX(0,MIN(F433,I433)-MAX(E433,H433))</f>
        <v>0</v>
      </c>
      <c r="K433" s="129" t="n">
        <f aca="false">G433*J433*'Fleet Build'!$K$58/1000000</f>
        <v>0</v>
      </c>
    </row>
    <row r="434" customFormat="false" ht="15" hidden="false" customHeight="false" outlineLevel="0" collapsed="false">
      <c r="B434" s="125" t="str">
        <f aca="false">'Fleet Build'!B40</f>
        <v>Seven Seas Prestige</v>
      </c>
      <c r="C434" s="125" t="str">
        <f aca="false">'Fleet Build'!C40</f>
        <v>Regent</v>
      </c>
      <c r="D434" s="9" t="s">
        <v>622</v>
      </c>
      <c r="E434" s="111" t="n">
        <f aca="false">I$6</f>
        <v>2026.25</v>
      </c>
      <c r="F434" s="111" t="n">
        <f aca="false">E434+0.25</f>
        <v>2026.5</v>
      </c>
      <c r="G434" s="126" t="n">
        <f aca="false">'Fleet Build'!E40</f>
        <v>822</v>
      </c>
      <c r="H434" s="127" t="n">
        <f aca="false">'Fleet Build'!F40</f>
        <v>2026.96</v>
      </c>
      <c r="I434" s="127" t="n">
        <f aca="false">'Fleet Build'!G40</f>
        <v>2099</v>
      </c>
      <c r="J434" s="128" t="n">
        <f aca="false">MAX(0,MIN(F434,I434)-MAX(E434,H434))</f>
        <v>0</v>
      </c>
      <c r="K434" s="129" t="n">
        <f aca="false">G434*J434*'Fleet Build'!$K$58/1000000</f>
        <v>0</v>
      </c>
    </row>
    <row r="435" customFormat="false" ht="15" hidden="false" customHeight="false" outlineLevel="0" collapsed="false">
      <c r="B435" s="125" t="str">
        <f aca="false">'Fleet Build'!B40</f>
        <v>Seven Seas Prestige</v>
      </c>
      <c r="C435" s="125" t="str">
        <f aca="false">'Fleet Build'!C40</f>
        <v>Regent</v>
      </c>
      <c r="D435" s="9" t="s">
        <v>200</v>
      </c>
      <c r="E435" s="111" t="n">
        <f aca="false">J$6</f>
        <v>2026.5</v>
      </c>
      <c r="F435" s="111" t="n">
        <f aca="false">E435+0.25</f>
        <v>2026.75</v>
      </c>
      <c r="G435" s="126" t="n">
        <f aca="false">'Fleet Build'!E40</f>
        <v>822</v>
      </c>
      <c r="H435" s="127" t="n">
        <f aca="false">'Fleet Build'!F40</f>
        <v>2026.96</v>
      </c>
      <c r="I435" s="127" t="n">
        <f aca="false">'Fleet Build'!G40</f>
        <v>2099</v>
      </c>
      <c r="J435" s="128" t="n">
        <f aca="false">MAX(0,MIN(F435,I435)-MAX(E435,H435))</f>
        <v>0</v>
      </c>
      <c r="K435" s="129" t="n">
        <f aca="false">G435*J435*'Fleet Build'!$K$58/1000000</f>
        <v>0</v>
      </c>
    </row>
    <row r="436" customFormat="false" ht="15" hidden="false" customHeight="false" outlineLevel="0" collapsed="false">
      <c r="B436" s="125" t="str">
        <f aca="false">'Fleet Build'!B40</f>
        <v>Seven Seas Prestige</v>
      </c>
      <c r="C436" s="125" t="str">
        <f aca="false">'Fleet Build'!C40</f>
        <v>Regent</v>
      </c>
      <c r="D436" s="9" t="s">
        <v>201</v>
      </c>
      <c r="E436" s="111" t="n">
        <f aca="false">K$6</f>
        <v>2026.75</v>
      </c>
      <c r="F436" s="111" t="n">
        <f aca="false">E436+0.25</f>
        <v>2027</v>
      </c>
      <c r="G436" s="126" t="n">
        <f aca="false">'Fleet Build'!E40</f>
        <v>822</v>
      </c>
      <c r="H436" s="127" t="n">
        <f aca="false">'Fleet Build'!F40</f>
        <v>2026.96</v>
      </c>
      <c r="I436" s="127" t="n">
        <f aca="false">'Fleet Build'!G40</f>
        <v>2099</v>
      </c>
      <c r="J436" s="128" t="n">
        <f aca="false">MAX(0,MIN(F436,I436)-MAX(E436,H436))</f>
        <v>0.0399999999999636</v>
      </c>
      <c r="K436" s="129" t="n">
        <f aca="false">G436*J436*'Fleet Build'!$K$58/1000000</f>
        <v>0.0117156439248577</v>
      </c>
    </row>
    <row r="437" customFormat="false" ht="15" hidden="false" customHeight="false" outlineLevel="0" collapsed="false">
      <c r="B437" s="125" t="str">
        <f aca="false">'Fleet Build'!B40</f>
        <v>Seven Seas Prestige</v>
      </c>
      <c r="C437" s="125" t="str">
        <f aca="false">'Fleet Build'!C40</f>
        <v>Regent</v>
      </c>
      <c r="D437" s="9" t="s">
        <v>202</v>
      </c>
      <c r="E437" s="111" t="n">
        <f aca="false">L$6</f>
        <v>2027</v>
      </c>
      <c r="F437" s="111" t="n">
        <f aca="false">E437+0.25</f>
        <v>2027.25</v>
      </c>
      <c r="G437" s="126" t="n">
        <f aca="false">'Fleet Build'!E40</f>
        <v>822</v>
      </c>
      <c r="H437" s="127" t="n">
        <f aca="false">'Fleet Build'!F40</f>
        <v>2026.96</v>
      </c>
      <c r="I437" s="127" t="n">
        <f aca="false">'Fleet Build'!G40</f>
        <v>2099</v>
      </c>
      <c r="J437" s="128" t="n">
        <f aca="false">MAX(0,MIN(F437,I437)-MAX(E437,H437))</f>
        <v>0.25</v>
      </c>
      <c r="K437" s="129" t="n">
        <f aca="false">G437*J437*'Fleet Build'!$K$58/1000000</f>
        <v>0.0732227745304274</v>
      </c>
    </row>
    <row r="438" customFormat="false" ht="15" hidden="false" customHeight="false" outlineLevel="0" collapsed="false">
      <c r="B438" s="125" t="str">
        <f aca="false">'Fleet Build'!B40</f>
        <v>Seven Seas Prestige</v>
      </c>
      <c r="C438" s="125" t="str">
        <f aca="false">'Fleet Build'!C40</f>
        <v>Regent</v>
      </c>
      <c r="D438" s="9" t="s">
        <v>203</v>
      </c>
      <c r="E438" s="111" t="n">
        <f aca="false">M$6</f>
        <v>2027.25</v>
      </c>
      <c r="F438" s="111" t="n">
        <f aca="false">E438+0.25</f>
        <v>2027.5</v>
      </c>
      <c r="G438" s="126" t="n">
        <f aca="false">'Fleet Build'!E40</f>
        <v>822</v>
      </c>
      <c r="H438" s="127" t="n">
        <f aca="false">'Fleet Build'!F40</f>
        <v>2026.96</v>
      </c>
      <c r="I438" s="127" t="n">
        <f aca="false">'Fleet Build'!G40</f>
        <v>2099</v>
      </c>
      <c r="J438" s="128" t="n">
        <f aca="false">MAX(0,MIN(F438,I438)-MAX(E438,H438))</f>
        <v>0.25</v>
      </c>
      <c r="K438" s="129" t="n">
        <f aca="false">G438*J438*'Fleet Build'!$K$58/1000000</f>
        <v>0.0732227745304274</v>
      </c>
    </row>
    <row r="439" customFormat="false" ht="15" hidden="false" customHeight="false" outlineLevel="0" collapsed="false">
      <c r="B439" s="125" t="str">
        <f aca="false">'Fleet Build'!B40</f>
        <v>Seven Seas Prestige</v>
      </c>
      <c r="C439" s="125" t="str">
        <f aca="false">'Fleet Build'!C40</f>
        <v>Regent</v>
      </c>
      <c r="D439" s="9" t="s">
        <v>204</v>
      </c>
      <c r="E439" s="111" t="n">
        <f aca="false">N$6</f>
        <v>2027.5</v>
      </c>
      <c r="F439" s="111" t="n">
        <f aca="false">E439+0.25</f>
        <v>2027.75</v>
      </c>
      <c r="G439" s="126" t="n">
        <f aca="false">'Fleet Build'!E40</f>
        <v>822</v>
      </c>
      <c r="H439" s="127" t="n">
        <f aca="false">'Fleet Build'!F40</f>
        <v>2026.96</v>
      </c>
      <c r="I439" s="127" t="n">
        <f aca="false">'Fleet Build'!G40</f>
        <v>2099</v>
      </c>
      <c r="J439" s="128" t="n">
        <f aca="false">MAX(0,MIN(F439,I439)-MAX(E439,H439))</f>
        <v>0.25</v>
      </c>
      <c r="K439" s="129" t="n">
        <f aca="false">G439*J439*'Fleet Build'!$K$58/1000000</f>
        <v>0.0732227745304274</v>
      </c>
    </row>
    <row r="440" customFormat="false" ht="15" hidden="false" customHeight="false" outlineLevel="0" collapsed="false">
      <c r="B440" s="125" t="str">
        <f aca="false">'Fleet Build'!B40</f>
        <v>Seven Seas Prestige</v>
      </c>
      <c r="C440" s="125" t="str">
        <f aca="false">'Fleet Build'!C40</f>
        <v>Regent</v>
      </c>
      <c r="D440" s="9" t="s">
        <v>205</v>
      </c>
      <c r="E440" s="111" t="n">
        <f aca="false">O$6</f>
        <v>2027.75</v>
      </c>
      <c r="F440" s="111" t="n">
        <f aca="false">E440+0.25</f>
        <v>2028</v>
      </c>
      <c r="G440" s="126" t="n">
        <f aca="false">'Fleet Build'!E40</f>
        <v>822</v>
      </c>
      <c r="H440" s="127" t="n">
        <f aca="false">'Fleet Build'!F40</f>
        <v>2026.96</v>
      </c>
      <c r="I440" s="127" t="n">
        <f aca="false">'Fleet Build'!G40</f>
        <v>2099</v>
      </c>
      <c r="J440" s="128" t="n">
        <f aca="false">MAX(0,MIN(F440,I440)-MAX(E440,H440))</f>
        <v>0.25</v>
      </c>
      <c r="K440" s="129" t="n">
        <f aca="false">G440*J440*'Fleet Build'!$K$58/1000000</f>
        <v>0.0732227745304274</v>
      </c>
    </row>
    <row r="441" customFormat="false" ht="15" hidden="false" customHeight="false" outlineLevel="0" collapsed="false">
      <c r="B441" s="125" t="str">
        <f aca="false">'Fleet Build'!B41</f>
        <v>Regent Prestige class #2</v>
      </c>
      <c r="C441" s="125" t="str">
        <f aca="false">'Fleet Build'!C41</f>
        <v>Regent</v>
      </c>
      <c r="D441" s="9" t="s">
        <v>617</v>
      </c>
      <c r="E441" s="111" t="n">
        <f aca="false">D$6</f>
        <v>2025</v>
      </c>
      <c r="F441" s="111" t="n">
        <f aca="false">E441+0.25</f>
        <v>2025.25</v>
      </c>
      <c r="G441" s="126" t="n">
        <f aca="false">'Fleet Build'!E41</f>
        <v>822</v>
      </c>
      <c r="H441" s="127" t="n">
        <f aca="false">'Fleet Build'!F41</f>
        <v>2029.5</v>
      </c>
      <c r="I441" s="127" t="n">
        <f aca="false">'Fleet Build'!G41</f>
        <v>2099</v>
      </c>
      <c r="J441" s="128" t="n">
        <f aca="false">MAX(0,MIN(F441,I441)-MAX(E441,H441))</f>
        <v>0</v>
      </c>
      <c r="K441" s="129" t="n">
        <f aca="false">G441*J441*'Fleet Build'!$K$58/1000000</f>
        <v>0</v>
      </c>
    </row>
    <row r="442" customFormat="false" ht="15" hidden="false" customHeight="false" outlineLevel="0" collapsed="false">
      <c r="B442" s="125" t="str">
        <f aca="false">'Fleet Build'!B41</f>
        <v>Regent Prestige class #2</v>
      </c>
      <c r="C442" s="125" t="str">
        <f aca="false">'Fleet Build'!C41</f>
        <v>Regent</v>
      </c>
      <c r="D442" s="9" t="s">
        <v>618</v>
      </c>
      <c r="E442" s="111" t="n">
        <f aca="false">E$6</f>
        <v>2025.25</v>
      </c>
      <c r="F442" s="111" t="n">
        <f aca="false">E442+0.25</f>
        <v>2025.5</v>
      </c>
      <c r="G442" s="126" t="n">
        <f aca="false">'Fleet Build'!E41</f>
        <v>822</v>
      </c>
      <c r="H442" s="127" t="n">
        <f aca="false">'Fleet Build'!F41</f>
        <v>2029.5</v>
      </c>
      <c r="I442" s="127" t="n">
        <f aca="false">'Fleet Build'!G41</f>
        <v>2099</v>
      </c>
      <c r="J442" s="128" t="n">
        <f aca="false">MAX(0,MIN(F442,I442)-MAX(E442,H442))</f>
        <v>0</v>
      </c>
      <c r="K442" s="129" t="n">
        <f aca="false">G442*J442*'Fleet Build'!$K$58/1000000</f>
        <v>0</v>
      </c>
    </row>
    <row r="443" customFormat="false" ht="15" hidden="false" customHeight="false" outlineLevel="0" collapsed="false">
      <c r="B443" s="125" t="str">
        <f aca="false">'Fleet Build'!B41</f>
        <v>Regent Prestige class #2</v>
      </c>
      <c r="C443" s="125" t="str">
        <f aca="false">'Fleet Build'!C41</f>
        <v>Regent</v>
      </c>
      <c r="D443" s="9" t="s">
        <v>619</v>
      </c>
      <c r="E443" s="111" t="n">
        <f aca="false">F$6</f>
        <v>2025.5</v>
      </c>
      <c r="F443" s="111" t="n">
        <f aca="false">E443+0.25</f>
        <v>2025.75</v>
      </c>
      <c r="G443" s="126" t="n">
        <f aca="false">'Fleet Build'!E41</f>
        <v>822</v>
      </c>
      <c r="H443" s="127" t="n">
        <f aca="false">'Fleet Build'!F41</f>
        <v>2029.5</v>
      </c>
      <c r="I443" s="127" t="n">
        <f aca="false">'Fleet Build'!G41</f>
        <v>2099</v>
      </c>
      <c r="J443" s="128" t="n">
        <f aca="false">MAX(0,MIN(F443,I443)-MAX(E443,H443))</f>
        <v>0</v>
      </c>
      <c r="K443" s="129" t="n">
        <f aca="false">G443*J443*'Fleet Build'!$K$58/1000000</f>
        <v>0</v>
      </c>
    </row>
    <row r="444" customFormat="false" ht="15" hidden="false" customHeight="false" outlineLevel="0" collapsed="false">
      <c r="B444" s="125" t="str">
        <f aca="false">'Fleet Build'!B41</f>
        <v>Regent Prestige class #2</v>
      </c>
      <c r="C444" s="125" t="str">
        <f aca="false">'Fleet Build'!C41</f>
        <v>Regent</v>
      </c>
      <c r="D444" s="9" t="s">
        <v>620</v>
      </c>
      <c r="E444" s="111" t="n">
        <f aca="false">G$6</f>
        <v>2025.75</v>
      </c>
      <c r="F444" s="111" t="n">
        <f aca="false">E444+0.25</f>
        <v>2026</v>
      </c>
      <c r="G444" s="126" t="n">
        <f aca="false">'Fleet Build'!E41</f>
        <v>822</v>
      </c>
      <c r="H444" s="127" t="n">
        <f aca="false">'Fleet Build'!F41</f>
        <v>2029.5</v>
      </c>
      <c r="I444" s="127" t="n">
        <f aca="false">'Fleet Build'!G41</f>
        <v>2099</v>
      </c>
      <c r="J444" s="128" t="n">
        <f aca="false">MAX(0,MIN(F444,I444)-MAX(E444,H444))</f>
        <v>0</v>
      </c>
      <c r="K444" s="129" t="n">
        <f aca="false">G444*J444*'Fleet Build'!$K$58/1000000</f>
        <v>0</v>
      </c>
    </row>
    <row r="445" customFormat="false" ht="15" hidden="false" customHeight="false" outlineLevel="0" collapsed="false">
      <c r="B445" s="125" t="str">
        <f aca="false">'Fleet Build'!B41</f>
        <v>Regent Prestige class #2</v>
      </c>
      <c r="C445" s="125" t="str">
        <f aca="false">'Fleet Build'!C41</f>
        <v>Regent</v>
      </c>
      <c r="D445" s="9" t="s">
        <v>621</v>
      </c>
      <c r="E445" s="111" t="n">
        <f aca="false">H$6</f>
        <v>2026</v>
      </c>
      <c r="F445" s="111" t="n">
        <f aca="false">E445+0.25</f>
        <v>2026.25</v>
      </c>
      <c r="G445" s="126" t="n">
        <f aca="false">'Fleet Build'!E41</f>
        <v>822</v>
      </c>
      <c r="H445" s="127" t="n">
        <f aca="false">'Fleet Build'!F41</f>
        <v>2029.5</v>
      </c>
      <c r="I445" s="127" t="n">
        <f aca="false">'Fleet Build'!G41</f>
        <v>2099</v>
      </c>
      <c r="J445" s="128" t="n">
        <f aca="false">MAX(0,MIN(F445,I445)-MAX(E445,H445))</f>
        <v>0</v>
      </c>
      <c r="K445" s="129" t="n">
        <f aca="false">G445*J445*'Fleet Build'!$K$58/1000000</f>
        <v>0</v>
      </c>
    </row>
    <row r="446" customFormat="false" ht="15" hidden="false" customHeight="false" outlineLevel="0" collapsed="false">
      <c r="B446" s="125" t="str">
        <f aca="false">'Fleet Build'!B41</f>
        <v>Regent Prestige class #2</v>
      </c>
      <c r="C446" s="125" t="str">
        <f aca="false">'Fleet Build'!C41</f>
        <v>Regent</v>
      </c>
      <c r="D446" s="9" t="s">
        <v>622</v>
      </c>
      <c r="E446" s="111" t="n">
        <f aca="false">I$6</f>
        <v>2026.25</v>
      </c>
      <c r="F446" s="111" t="n">
        <f aca="false">E446+0.25</f>
        <v>2026.5</v>
      </c>
      <c r="G446" s="126" t="n">
        <f aca="false">'Fleet Build'!E41</f>
        <v>822</v>
      </c>
      <c r="H446" s="127" t="n">
        <f aca="false">'Fleet Build'!F41</f>
        <v>2029.5</v>
      </c>
      <c r="I446" s="127" t="n">
        <f aca="false">'Fleet Build'!G41</f>
        <v>2099</v>
      </c>
      <c r="J446" s="128" t="n">
        <f aca="false">MAX(0,MIN(F446,I446)-MAX(E446,H446))</f>
        <v>0</v>
      </c>
      <c r="K446" s="129" t="n">
        <f aca="false">G446*J446*'Fleet Build'!$K$58/1000000</f>
        <v>0</v>
      </c>
    </row>
    <row r="447" customFormat="false" ht="15" hidden="false" customHeight="false" outlineLevel="0" collapsed="false">
      <c r="B447" s="125" t="str">
        <f aca="false">'Fleet Build'!B41</f>
        <v>Regent Prestige class #2</v>
      </c>
      <c r="C447" s="125" t="str">
        <f aca="false">'Fleet Build'!C41</f>
        <v>Regent</v>
      </c>
      <c r="D447" s="9" t="s">
        <v>200</v>
      </c>
      <c r="E447" s="111" t="n">
        <f aca="false">J$6</f>
        <v>2026.5</v>
      </c>
      <c r="F447" s="111" t="n">
        <f aca="false">E447+0.25</f>
        <v>2026.75</v>
      </c>
      <c r="G447" s="126" t="n">
        <f aca="false">'Fleet Build'!E41</f>
        <v>822</v>
      </c>
      <c r="H447" s="127" t="n">
        <f aca="false">'Fleet Build'!F41</f>
        <v>2029.5</v>
      </c>
      <c r="I447" s="127" t="n">
        <f aca="false">'Fleet Build'!G41</f>
        <v>2099</v>
      </c>
      <c r="J447" s="128" t="n">
        <f aca="false">MAX(0,MIN(F447,I447)-MAX(E447,H447))</f>
        <v>0</v>
      </c>
      <c r="K447" s="129" t="n">
        <f aca="false">G447*J447*'Fleet Build'!$K$58/1000000</f>
        <v>0</v>
      </c>
    </row>
    <row r="448" customFormat="false" ht="15" hidden="false" customHeight="false" outlineLevel="0" collapsed="false">
      <c r="B448" s="125" t="str">
        <f aca="false">'Fleet Build'!B41</f>
        <v>Regent Prestige class #2</v>
      </c>
      <c r="C448" s="125" t="str">
        <f aca="false">'Fleet Build'!C41</f>
        <v>Regent</v>
      </c>
      <c r="D448" s="9" t="s">
        <v>201</v>
      </c>
      <c r="E448" s="111" t="n">
        <f aca="false">K$6</f>
        <v>2026.75</v>
      </c>
      <c r="F448" s="111" t="n">
        <f aca="false">E448+0.25</f>
        <v>2027</v>
      </c>
      <c r="G448" s="126" t="n">
        <f aca="false">'Fleet Build'!E41</f>
        <v>822</v>
      </c>
      <c r="H448" s="127" t="n">
        <f aca="false">'Fleet Build'!F41</f>
        <v>2029.5</v>
      </c>
      <c r="I448" s="127" t="n">
        <f aca="false">'Fleet Build'!G41</f>
        <v>2099</v>
      </c>
      <c r="J448" s="128" t="n">
        <f aca="false">MAX(0,MIN(F448,I448)-MAX(E448,H448))</f>
        <v>0</v>
      </c>
      <c r="K448" s="129" t="n">
        <f aca="false">G448*J448*'Fleet Build'!$K$58/1000000</f>
        <v>0</v>
      </c>
    </row>
    <row r="449" customFormat="false" ht="15" hidden="false" customHeight="false" outlineLevel="0" collapsed="false">
      <c r="B449" s="125" t="str">
        <f aca="false">'Fleet Build'!B41</f>
        <v>Regent Prestige class #2</v>
      </c>
      <c r="C449" s="125" t="str">
        <f aca="false">'Fleet Build'!C41</f>
        <v>Regent</v>
      </c>
      <c r="D449" s="9" t="s">
        <v>202</v>
      </c>
      <c r="E449" s="111" t="n">
        <f aca="false">L$6</f>
        <v>2027</v>
      </c>
      <c r="F449" s="111" t="n">
        <f aca="false">E449+0.25</f>
        <v>2027.25</v>
      </c>
      <c r="G449" s="126" t="n">
        <f aca="false">'Fleet Build'!E41</f>
        <v>822</v>
      </c>
      <c r="H449" s="127" t="n">
        <f aca="false">'Fleet Build'!F41</f>
        <v>2029.5</v>
      </c>
      <c r="I449" s="127" t="n">
        <f aca="false">'Fleet Build'!G41</f>
        <v>2099</v>
      </c>
      <c r="J449" s="128" t="n">
        <f aca="false">MAX(0,MIN(F449,I449)-MAX(E449,H449))</f>
        <v>0</v>
      </c>
      <c r="K449" s="129" t="n">
        <f aca="false">G449*J449*'Fleet Build'!$K$58/1000000</f>
        <v>0</v>
      </c>
    </row>
    <row r="450" customFormat="false" ht="15" hidden="false" customHeight="false" outlineLevel="0" collapsed="false">
      <c r="B450" s="125" t="str">
        <f aca="false">'Fleet Build'!B41</f>
        <v>Regent Prestige class #2</v>
      </c>
      <c r="C450" s="125" t="str">
        <f aca="false">'Fleet Build'!C41</f>
        <v>Regent</v>
      </c>
      <c r="D450" s="9" t="s">
        <v>203</v>
      </c>
      <c r="E450" s="111" t="n">
        <f aca="false">M$6</f>
        <v>2027.25</v>
      </c>
      <c r="F450" s="111" t="n">
        <f aca="false">E450+0.25</f>
        <v>2027.5</v>
      </c>
      <c r="G450" s="126" t="n">
        <f aca="false">'Fleet Build'!E41</f>
        <v>822</v>
      </c>
      <c r="H450" s="127" t="n">
        <f aca="false">'Fleet Build'!F41</f>
        <v>2029.5</v>
      </c>
      <c r="I450" s="127" t="n">
        <f aca="false">'Fleet Build'!G41</f>
        <v>2099</v>
      </c>
      <c r="J450" s="128" t="n">
        <f aca="false">MAX(0,MIN(F450,I450)-MAX(E450,H450))</f>
        <v>0</v>
      </c>
      <c r="K450" s="129" t="n">
        <f aca="false">G450*J450*'Fleet Build'!$K$58/1000000</f>
        <v>0</v>
      </c>
    </row>
    <row r="451" customFormat="false" ht="15" hidden="false" customHeight="false" outlineLevel="0" collapsed="false">
      <c r="B451" s="125" t="str">
        <f aca="false">'Fleet Build'!B41</f>
        <v>Regent Prestige class #2</v>
      </c>
      <c r="C451" s="125" t="str">
        <f aca="false">'Fleet Build'!C41</f>
        <v>Regent</v>
      </c>
      <c r="D451" s="9" t="s">
        <v>204</v>
      </c>
      <c r="E451" s="111" t="n">
        <f aca="false">N$6</f>
        <v>2027.5</v>
      </c>
      <c r="F451" s="111" t="n">
        <f aca="false">E451+0.25</f>
        <v>2027.75</v>
      </c>
      <c r="G451" s="126" t="n">
        <f aca="false">'Fleet Build'!E41</f>
        <v>822</v>
      </c>
      <c r="H451" s="127" t="n">
        <f aca="false">'Fleet Build'!F41</f>
        <v>2029.5</v>
      </c>
      <c r="I451" s="127" t="n">
        <f aca="false">'Fleet Build'!G41</f>
        <v>2099</v>
      </c>
      <c r="J451" s="128" t="n">
        <f aca="false">MAX(0,MIN(F451,I451)-MAX(E451,H451))</f>
        <v>0</v>
      </c>
      <c r="K451" s="129" t="n">
        <f aca="false">G451*J451*'Fleet Build'!$K$58/1000000</f>
        <v>0</v>
      </c>
    </row>
    <row r="452" customFormat="false" ht="15" hidden="false" customHeight="false" outlineLevel="0" collapsed="false">
      <c r="B452" s="125" t="str">
        <f aca="false">'Fleet Build'!B41</f>
        <v>Regent Prestige class #2</v>
      </c>
      <c r="C452" s="125" t="str">
        <f aca="false">'Fleet Build'!C41</f>
        <v>Regent</v>
      </c>
      <c r="D452" s="9" t="s">
        <v>205</v>
      </c>
      <c r="E452" s="111" t="n">
        <f aca="false">O$6</f>
        <v>2027.75</v>
      </c>
      <c r="F452" s="111" t="n">
        <f aca="false">E452+0.25</f>
        <v>2028</v>
      </c>
      <c r="G452" s="126" t="n">
        <f aca="false">'Fleet Build'!E41</f>
        <v>822</v>
      </c>
      <c r="H452" s="127" t="n">
        <f aca="false">'Fleet Build'!F41</f>
        <v>2029.5</v>
      </c>
      <c r="I452" s="127" t="n">
        <f aca="false">'Fleet Build'!G41</f>
        <v>2099</v>
      </c>
      <c r="J452" s="128" t="n">
        <f aca="false">MAX(0,MIN(F452,I452)-MAX(E452,H452))</f>
        <v>0</v>
      </c>
      <c r="K452" s="129" t="n">
        <f aca="false">G452*J452*'Fleet Build'!$K$58/1000000</f>
        <v>0</v>
      </c>
    </row>
    <row r="453" customFormat="false" ht="15" hidden="false" customHeight="false" outlineLevel="0" collapsed="false">
      <c r="B453" s="125" t="str">
        <f aca="false">'Fleet Build'!B42</f>
        <v>Seven Seas Grandeur</v>
      </c>
      <c r="C453" s="125" t="str">
        <f aca="false">'Fleet Build'!C42</f>
        <v>Regent</v>
      </c>
      <c r="D453" s="9" t="s">
        <v>617</v>
      </c>
      <c r="E453" s="111" t="n">
        <f aca="false">D$6</f>
        <v>2025</v>
      </c>
      <c r="F453" s="111" t="n">
        <f aca="false">E453+0.25</f>
        <v>2025.25</v>
      </c>
      <c r="G453" s="126" t="n">
        <f aca="false">'Fleet Build'!E42</f>
        <v>738.0095209759</v>
      </c>
      <c r="H453" s="127" t="n">
        <f aca="false">'Fleet Build'!F42</f>
        <v>2000</v>
      </c>
      <c r="I453" s="127" t="n">
        <f aca="false">'Fleet Build'!G42</f>
        <v>2099</v>
      </c>
      <c r="J453" s="128" t="n">
        <f aca="false">MAX(0,MIN(F453,I453)-MAX(E453,H453))</f>
        <v>0.25</v>
      </c>
      <c r="K453" s="129" t="n">
        <f aca="false">G453*J453*'Fleet Build'!$K$58/1000000</f>
        <v>0.065741003352466</v>
      </c>
    </row>
    <row r="454" customFormat="false" ht="15" hidden="false" customHeight="false" outlineLevel="0" collapsed="false">
      <c r="B454" s="125" t="str">
        <f aca="false">'Fleet Build'!B42</f>
        <v>Seven Seas Grandeur</v>
      </c>
      <c r="C454" s="125" t="str">
        <f aca="false">'Fleet Build'!C42</f>
        <v>Regent</v>
      </c>
      <c r="D454" s="9" t="s">
        <v>618</v>
      </c>
      <c r="E454" s="111" t="n">
        <f aca="false">E$6</f>
        <v>2025.25</v>
      </c>
      <c r="F454" s="111" t="n">
        <f aca="false">E454+0.25</f>
        <v>2025.5</v>
      </c>
      <c r="G454" s="126" t="n">
        <f aca="false">'Fleet Build'!E42</f>
        <v>738.0095209759</v>
      </c>
      <c r="H454" s="127" t="n">
        <f aca="false">'Fleet Build'!F42</f>
        <v>2000</v>
      </c>
      <c r="I454" s="127" t="n">
        <f aca="false">'Fleet Build'!G42</f>
        <v>2099</v>
      </c>
      <c r="J454" s="128" t="n">
        <f aca="false">MAX(0,MIN(F454,I454)-MAX(E454,H454))</f>
        <v>0.25</v>
      </c>
      <c r="K454" s="129" t="n">
        <f aca="false">G454*J454*'Fleet Build'!$K$58/1000000</f>
        <v>0.065741003352466</v>
      </c>
    </row>
    <row r="455" customFormat="false" ht="15" hidden="false" customHeight="false" outlineLevel="0" collapsed="false">
      <c r="B455" s="125" t="str">
        <f aca="false">'Fleet Build'!B42</f>
        <v>Seven Seas Grandeur</v>
      </c>
      <c r="C455" s="125" t="str">
        <f aca="false">'Fleet Build'!C42</f>
        <v>Regent</v>
      </c>
      <c r="D455" s="9" t="s">
        <v>619</v>
      </c>
      <c r="E455" s="111" t="n">
        <f aca="false">F$6</f>
        <v>2025.5</v>
      </c>
      <c r="F455" s="111" t="n">
        <f aca="false">E455+0.25</f>
        <v>2025.75</v>
      </c>
      <c r="G455" s="126" t="n">
        <f aca="false">'Fleet Build'!E42</f>
        <v>738.0095209759</v>
      </c>
      <c r="H455" s="127" t="n">
        <f aca="false">'Fleet Build'!F42</f>
        <v>2000</v>
      </c>
      <c r="I455" s="127" t="n">
        <f aca="false">'Fleet Build'!G42</f>
        <v>2099</v>
      </c>
      <c r="J455" s="128" t="n">
        <f aca="false">MAX(0,MIN(F455,I455)-MAX(E455,H455))</f>
        <v>0.25</v>
      </c>
      <c r="K455" s="129" t="n">
        <f aca="false">G455*J455*'Fleet Build'!$K$58/1000000</f>
        <v>0.065741003352466</v>
      </c>
    </row>
    <row r="456" customFormat="false" ht="15" hidden="false" customHeight="false" outlineLevel="0" collapsed="false">
      <c r="B456" s="125" t="str">
        <f aca="false">'Fleet Build'!B42</f>
        <v>Seven Seas Grandeur</v>
      </c>
      <c r="C456" s="125" t="str">
        <f aca="false">'Fleet Build'!C42</f>
        <v>Regent</v>
      </c>
      <c r="D456" s="9" t="s">
        <v>620</v>
      </c>
      <c r="E456" s="111" t="n">
        <f aca="false">G$6</f>
        <v>2025.75</v>
      </c>
      <c r="F456" s="111" t="n">
        <f aca="false">E456+0.25</f>
        <v>2026</v>
      </c>
      <c r="G456" s="126" t="n">
        <f aca="false">'Fleet Build'!E42</f>
        <v>738.0095209759</v>
      </c>
      <c r="H456" s="127" t="n">
        <f aca="false">'Fleet Build'!F42</f>
        <v>2000</v>
      </c>
      <c r="I456" s="127" t="n">
        <f aca="false">'Fleet Build'!G42</f>
        <v>2099</v>
      </c>
      <c r="J456" s="128" t="n">
        <f aca="false">MAX(0,MIN(F456,I456)-MAX(E456,H456))</f>
        <v>0.25</v>
      </c>
      <c r="K456" s="129" t="n">
        <f aca="false">G456*J456*'Fleet Build'!$K$58/1000000</f>
        <v>0.065741003352466</v>
      </c>
    </row>
    <row r="457" customFormat="false" ht="15" hidden="false" customHeight="false" outlineLevel="0" collapsed="false">
      <c r="B457" s="125" t="str">
        <f aca="false">'Fleet Build'!B42</f>
        <v>Seven Seas Grandeur</v>
      </c>
      <c r="C457" s="125" t="str">
        <f aca="false">'Fleet Build'!C42</f>
        <v>Regent</v>
      </c>
      <c r="D457" s="9" t="s">
        <v>621</v>
      </c>
      <c r="E457" s="111" t="n">
        <f aca="false">H$6</f>
        <v>2026</v>
      </c>
      <c r="F457" s="111" t="n">
        <f aca="false">E457+0.25</f>
        <v>2026.25</v>
      </c>
      <c r="G457" s="126" t="n">
        <f aca="false">'Fleet Build'!E42</f>
        <v>738.0095209759</v>
      </c>
      <c r="H457" s="127" t="n">
        <f aca="false">'Fleet Build'!F42</f>
        <v>2000</v>
      </c>
      <c r="I457" s="127" t="n">
        <f aca="false">'Fleet Build'!G42</f>
        <v>2099</v>
      </c>
      <c r="J457" s="128" t="n">
        <f aca="false">MAX(0,MIN(F457,I457)-MAX(E457,H457))</f>
        <v>0.25</v>
      </c>
      <c r="K457" s="129" t="n">
        <f aca="false">G457*J457*'Fleet Build'!$K$58/1000000</f>
        <v>0.065741003352466</v>
      </c>
    </row>
    <row r="458" customFormat="false" ht="15" hidden="false" customHeight="false" outlineLevel="0" collapsed="false">
      <c r="B458" s="125" t="str">
        <f aca="false">'Fleet Build'!B42</f>
        <v>Seven Seas Grandeur</v>
      </c>
      <c r="C458" s="125" t="str">
        <f aca="false">'Fleet Build'!C42</f>
        <v>Regent</v>
      </c>
      <c r="D458" s="9" t="s">
        <v>622</v>
      </c>
      <c r="E458" s="111" t="n">
        <f aca="false">I$6</f>
        <v>2026.25</v>
      </c>
      <c r="F458" s="111" t="n">
        <f aca="false">E458+0.25</f>
        <v>2026.5</v>
      </c>
      <c r="G458" s="126" t="n">
        <f aca="false">'Fleet Build'!E42</f>
        <v>738.0095209759</v>
      </c>
      <c r="H458" s="127" t="n">
        <f aca="false">'Fleet Build'!F42</f>
        <v>2000</v>
      </c>
      <c r="I458" s="127" t="n">
        <f aca="false">'Fleet Build'!G42</f>
        <v>2099</v>
      </c>
      <c r="J458" s="128" t="n">
        <f aca="false">MAX(0,MIN(F458,I458)-MAX(E458,H458))</f>
        <v>0.25</v>
      </c>
      <c r="K458" s="129" t="n">
        <f aca="false">G458*J458*'Fleet Build'!$K$58/1000000</f>
        <v>0.065741003352466</v>
      </c>
    </row>
    <row r="459" customFormat="false" ht="15" hidden="false" customHeight="false" outlineLevel="0" collapsed="false">
      <c r="B459" s="125" t="str">
        <f aca="false">'Fleet Build'!B42</f>
        <v>Seven Seas Grandeur</v>
      </c>
      <c r="C459" s="125" t="str">
        <f aca="false">'Fleet Build'!C42</f>
        <v>Regent</v>
      </c>
      <c r="D459" s="9" t="s">
        <v>200</v>
      </c>
      <c r="E459" s="111" t="n">
        <f aca="false">J$6</f>
        <v>2026.5</v>
      </c>
      <c r="F459" s="111" t="n">
        <f aca="false">E459+0.25</f>
        <v>2026.75</v>
      </c>
      <c r="G459" s="126" t="n">
        <f aca="false">'Fleet Build'!E42</f>
        <v>738.0095209759</v>
      </c>
      <c r="H459" s="127" t="n">
        <f aca="false">'Fleet Build'!F42</f>
        <v>2000</v>
      </c>
      <c r="I459" s="127" t="n">
        <f aca="false">'Fleet Build'!G42</f>
        <v>2099</v>
      </c>
      <c r="J459" s="128" t="n">
        <f aca="false">MAX(0,MIN(F459,I459)-MAX(E459,H459))</f>
        <v>0.25</v>
      </c>
      <c r="K459" s="129" t="n">
        <f aca="false">G459*J459*'Fleet Build'!$K$58/1000000</f>
        <v>0.065741003352466</v>
      </c>
    </row>
    <row r="460" customFormat="false" ht="15" hidden="false" customHeight="false" outlineLevel="0" collapsed="false">
      <c r="B460" s="125" t="str">
        <f aca="false">'Fleet Build'!B42</f>
        <v>Seven Seas Grandeur</v>
      </c>
      <c r="C460" s="125" t="str">
        <f aca="false">'Fleet Build'!C42</f>
        <v>Regent</v>
      </c>
      <c r="D460" s="9" t="s">
        <v>201</v>
      </c>
      <c r="E460" s="111" t="n">
        <f aca="false">K$6</f>
        <v>2026.75</v>
      </c>
      <c r="F460" s="111" t="n">
        <f aca="false">E460+0.25</f>
        <v>2027</v>
      </c>
      <c r="G460" s="126" t="n">
        <f aca="false">'Fleet Build'!E42</f>
        <v>738.0095209759</v>
      </c>
      <c r="H460" s="127" t="n">
        <f aca="false">'Fleet Build'!F42</f>
        <v>2000</v>
      </c>
      <c r="I460" s="127" t="n">
        <f aca="false">'Fleet Build'!G42</f>
        <v>2099</v>
      </c>
      <c r="J460" s="128" t="n">
        <f aca="false">MAX(0,MIN(F460,I460)-MAX(E460,H460))</f>
        <v>0.25</v>
      </c>
      <c r="K460" s="129" t="n">
        <f aca="false">G460*J460*'Fleet Build'!$K$58/1000000</f>
        <v>0.065741003352466</v>
      </c>
    </row>
    <row r="461" customFormat="false" ht="15" hidden="false" customHeight="false" outlineLevel="0" collapsed="false">
      <c r="B461" s="125" t="str">
        <f aca="false">'Fleet Build'!B42</f>
        <v>Seven Seas Grandeur</v>
      </c>
      <c r="C461" s="125" t="str">
        <f aca="false">'Fleet Build'!C42</f>
        <v>Regent</v>
      </c>
      <c r="D461" s="9" t="s">
        <v>202</v>
      </c>
      <c r="E461" s="111" t="n">
        <f aca="false">L$6</f>
        <v>2027</v>
      </c>
      <c r="F461" s="111" t="n">
        <f aca="false">E461+0.25</f>
        <v>2027.25</v>
      </c>
      <c r="G461" s="126" t="n">
        <f aca="false">'Fleet Build'!E42</f>
        <v>738.0095209759</v>
      </c>
      <c r="H461" s="127" t="n">
        <f aca="false">'Fleet Build'!F42</f>
        <v>2000</v>
      </c>
      <c r="I461" s="127" t="n">
        <f aca="false">'Fleet Build'!G42</f>
        <v>2099</v>
      </c>
      <c r="J461" s="128" t="n">
        <f aca="false">MAX(0,MIN(F461,I461)-MAX(E461,H461))</f>
        <v>0.25</v>
      </c>
      <c r="K461" s="129" t="n">
        <f aca="false">G461*J461*'Fleet Build'!$K$58/1000000</f>
        <v>0.065741003352466</v>
      </c>
    </row>
    <row r="462" customFormat="false" ht="15" hidden="false" customHeight="false" outlineLevel="0" collapsed="false">
      <c r="B462" s="125" t="str">
        <f aca="false">'Fleet Build'!B42</f>
        <v>Seven Seas Grandeur</v>
      </c>
      <c r="C462" s="125" t="str">
        <f aca="false">'Fleet Build'!C42</f>
        <v>Regent</v>
      </c>
      <c r="D462" s="9" t="s">
        <v>203</v>
      </c>
      <c r="E462" s="111" t="n">
        <f aca="false">M$6</f>
        <v>2027.25</v>
      </c>
      <c r="F462" s="111" t="n">
        <f aca="false">E462+0.25</f>
        <v>2027.5</v>
      </c>
      <c r="G462" s="126" t="n">
        <f aca="false">'Fleet Build'!E42</f>
        <v>738.0095209759</v>
      </c>
      <c r="H462" s="127" t="n">
        <f aca="false">'Fleet Build'!F42</f>
        <v>2000</v>
      </c>
      <c r="I462" s="127" t="n">
        <f aca="false">'Fleet Build'!G42</f>
        <v>2099</v>
      </c>
      <c r="J462" s="128" t="n">
        <f aca="false">MAX(0,MIN(F462,I462)-MAX(E462,H462))</f>
        <v>0.25</v>
      </c>
      <c r="K462" s="129" t="n">
        <f aca="false">G462*J462*'Fleet Build'!$K$58/1000000</f>
        <v>0.065741003352466</v>
      </c>
    </row>
    <row r="463" customFormat="false" ht="15" hidden="false" customHeight="false" outlineLevel="0" collapsed="false">
      <c r="B463" s="125" t="str">
        <f aca="false">'Fleet Build'!B42</f>
        <v>Seven Seas Grandeur</v>
      </c>
      <c r="C463" s="125" t="str">
        <f aca="false">'Fleet Build'!C42</f>
        <v>Regent</v>
      </c>
      <c r="D463" s="9" t="s">
        <v>204</v>
      </c>
      <c r="E463" s="111" t="n">
        <f aca="false">N$6</f>
        <v>2027.5</v>
      </c>
      <c r="F463" s="111" t="n">
        <f aca="false">E463+0.25</f>
        <v>2027.75</v>
      </c>
      <c r="G463" s="126" t="n">
        <f aca="false">'Fleet Build'!E42</f>
        <v>738.0095209759</v>
      </c>
      <c r="H463" s="127" t="n">
        <f aca="false">'Fleet Build'!F42</f>
        <v>2000</v>
      </c>
      <c r="I463" s="127" t="n">
        <f aca="false">'Fleet Build'!G42</f>
        <v>2099</v>
      </c>
      <c r="J463" s="128" t="n">
        <f aca="false">MAX(0,MIN(F463,I463)-MAX(E463,H463))</f>
        <v>0.25</v>
      </c>
      <c r="K463" s="129" t="n">
        <f aca="false">G463*J463*'Fleet Build'!$K$58/1000000</f>
        <v>0.065741003352466</v>
      </c>
    </row>
    <row r="464" customFormat="false" ht="15" hidden="false" customHeight="false" outlineLevel="0" collapsed="false">
      <c r="B464" s="125" t="str">
        <f aca="false">'Fleet Build'!B42</f>
        <v>Seven Seas Grandeur</v>
      </c>
      <c r="C464" s="125" t="str">
        <f aca="false">'Fleet Build'!C42</f>
        <v>Regent</v>
      </c>
      <c r="D464" s="9" t="s">
        <v>205</v>
      </c>
      <c r="E464" s="111" t="n">
        <f aca="false">O$6</f>
        <v>2027.75</v>
      </c>
      <c r="F464" s="111" t="n">
        <f aca="false">E464+0.25</f>
        <v>2028</v>
      </c>
      <c r="G464" s="126" t="n">
        <f aca="false">'Fleet Build'!E42</f>
        <v>738.0095209759</v>
      </c>
      <c r="H464" s="127" t="n">
        <f aca="false">'Fleet Build'!F42</f>
        <v>2000</v>
      </c>
      <c r="I464" s="127" t="n">
        <f aca="false">'Fleet Build'!G42</f>
        <v>2099</v>
      </c>
      <c r="J464" s="128" t="n">
        <f aca="false">MAX(0,MIN(F464,I464)-MAX(E464,H464))</f>
        <v>0.25</v>
      </c>
      <c r="K464" s="129" t="n">
        <f aca="false">G464*J464*'Fleet Build'!$K$58/1000000</f>
        <v>0.065741003352466</v>
      </c>
    </row>
    <row r="465" customFormat="false" ht="15" hidden="false" customHeight="false" outlineLevel="0" collapsed="false">
      <c r="B465" s="125" t="str">
        <f aca="false">'Fleet Build'!B43</f>
        <v>Seven Seas Splendor</v>
      </c>
      <c r="C465" s="125" t="str">
        <f aca="false">'Fleet Build'!C43</f>
        <v>Regent</v>
      </c>
      <c r="D465" s="9" t="s">
        <v>617</v>
      </c>
      <c r="E465" s="111" t="n">
        <f aca="false">D$6</f>
        <v>2025</v>
      </c>
      <c r="F465" s="111" t="n">
        <f aca="false">E465+0.25</f>
        <v>2025.25</v>
      </c>
      <c r="G465" s="126" t="n">
        <f aca="false">'Fleet Build'!E43</f>
        <v>741.96667658435</v>
      </c>
      <c r="H465" s="127" t="n">
        <f aca="false">'Fleet Build'!F43</f>
        <v>2000</v>
      </c>
      <c r="I465" s="127" t="n">
        <f aca="false">'Fleet Build'!G43</f>
        <v>2099</v>
      </c>
      <c r="J465" s="128" t="n">
        <f aca="false">MAX(0,MIN(F465,I465)-MAX(E465,H465))</f>
        <v>0.25</v>
      </c>
      <c r="K465" s="129" t="n">
        <f aca="false">G465*J465*'Fleet Build'!$K$58/1000000</f>
        <v>0.0660935020299591</v>
      </c>
    </row>
    <row r="466" customFormat="false" ht="15" hidden="false" customHeight="false" outlineLevel="0" collapsed="false">
      <c r="B466" s="125" t="str">
        <f aca="false">'Fleet Build'!B43</f>
        <v>Seven Seas Splendor</v>
      </c>
      <c r="C466" s="125" t="str">
        <f aca="false">'Fleet Build'!C43</f>
        <v>Regent</v>
      </c>
      <c r="D466" s="9" t="s">
        <v>618</v>
      </c>
      <c r="E466" s="111" t="n">
        <f aca="false">E$6</f>
        <v>2025.25</v>
      </c>
      <c r="F466" s="111" t="n">
        <f aca="false">E466+0.25</f>
        <v>2025.5</v>
      </c>
      <c r="G466" s="126" t="n">
        <f aca="false">'Fleet Build'!E43</f>
        <v>741.96667658435</v>
      </c>
      <c r="H466" s="127" t="n">
        <f aca="false">'Fleet Build'!F43</f>
        <v>2000</v>
      </c>
      <c r="I466" s="127" t="n">
        <f aca="false">'Fleet Build'!G43</f>
        <v>2099</v>
      </c>
      <c r="J466" s="128" t="n">
        <f aca="false">MAX(0,MIN(F466,I466)-MAX(E466,H466))</f>
        <v>0.25</v>
      </c>
      <c r="K466" s="129" t="n">
        <f aca="false">G466*J466*'Fleet Build'!$K$58/1000000</f>
        <v>0.0660935020299591</v>
      </c>
    </row>
    <row r="467" customFormat="false" ht="15" hidden="false" customHeight="false" outlineLevel="0" collapsed="false">
      <c r="B467" s="125" t="str">
        <f aca="false">'Fleet Build'!B43</f>
        <v>Seven Seas Splendor</v>
      </c>
      <c r="C467" s="125" t="str">
        <f aca="false">'Fleet Build'!C43</f>
        <v>Regent</v>
      </c>
      <c r="D467" s="9" t="s">
        <v>619</v>
      </c>
      <c r="E467" s="111" t="n">
        <f aca="false">F$6</f>
        <v>2025.5</v>
      </c>
      <c r="F467" s="111" t="n">
        <f aca="false">E467+0.25</f>
        <v>2025.75</v>
      </c>
      <c r="G467" s="126" t="n">
        <f aca="false">'Fleet Build'!E43</f>
        <v>741.96667658435</v>
      </c>
      <c r="H467" s="127" t="n">
        <f aca="false">'Fleet Build'!F43</f>
        <v>2000</v>
      </c>
      <c r="I467" s="127" t="n">
        <f aca="false">'Fleet Build'!G43</f>
        <v>2099</v>
      </c>
      <c r="J467" s="128" t="n">
        <f aca="false">MAX(0,MIN(F467,I467)-MAX(E467,H467))</f>
        <v>0.25</v>
      </c>
      <c r="K467" s="129" t="n">
        <f aca="false">G467*J467*'Fleet Build'!$K$58/1000000</f>
        <v>0.0660935020299591</v>
      </c>
    </row>
    <row r="468" customFormat="false" ht="15" hidden="false" customHeight="false" outlineLevel="0" collapsed="false">
      <c r="B468" s="125" t="str">
        <f aca="false">'Fleet Build'!B43</f>
        <v>Seven Seas Splendor</v>
      </c>
      <c r="C468" s="125" t="str">
        <f aca="false">'Fleet Build'!C43</f>
        <v>Regent</v>
      </c>
      <c r="D468" s="9" t="s">
        <v>620</v>
      </c>
      <c r="E468" s="111" t="n">
        <f aca="false">G$6</f>
        <v>2025.75</v>
      </c>
      <c r="F468" s="111" t="n">
        <f aca="false">E468+0.25</f>
        <v>2026</v>
      </c>
      <c r="G468" s="126" t="n">
        <f aca="false">'Fleet Build'!E43</f>
        <v>741.96667658435</v>
      </c>
      <c r="H468" s="127" t="n">
        <f aca="false">'Fleet Build'!F43</f>
        <v>2000</v>
      </c>
      <c r="I468" s="127" t="n">
        <f aca="false">'Fleet Build'!G43</f>
        <v>2099</v>
      </c>
      <c r="J468" s="128" t="n">
        <f aca="false">MAX(0,MIN(F468,I468)-MAX(E468,H468))</f>
        <v>0.25</v>
      </c>
      <c r="K468" s="129" t="n">
        <f aca="false">G468*J468*'Fleet Build'!$K$58/1000000</f>
        <v>0.0660935020299591</v>
      </c>
    </row>
    <row r="469" customFormat="false" ht="15" hidden="false" customHeight="false" outlineLevel="0" collapsed="false">
      <c r="B469" s="125" t="str">
        <f aca="false">'Fleet Build'!B43</f>
        <v>Seven Seas Splendor</v>
      </c>
      <c r="C469" s="125" t="str">
        <f aca="false">'Fleet Build'!C43</f>
        <v>Regent</v>
      </c>
      <c r="D469" s="9" t="s">
        <v>621</v>
      </c>
      <c r="E469" s="111" t="n">
        <f aca="false">H$6</f>
        <v>2026</v>
      </c>
      <c r="F469" s="111" t="n">
        <f aca="false">E469+0.25</f>
        <v>2026.25</v>
      </c>
      <c r="G469" s="126" t="n">
        <f aca="false">'Fleet Build'!E43</f>
        <v>741.96667658435</v>
      </c>
      <c r="H469" s="127" t="n">
        <f aca="false">'Fleet Build'!F43</f>
        <v>2000</v>
      </c>
      <c r="I469" s="127" t="n">
        <f aca="false">'Fleet Build'!G43</f>
        <v>2099</v>
      </c>
      <c r="J469" s="128" t="n">
        <f aca="false">MAX(0,MIN(F469,I469)-MAX(E469,H469))</f>
        <v>0.25</v>
      </c>
      <c r="K469" s="129" t="n">
        <f aca="false">G469*J469*'Fleet Build'!$K$58/1000000</f>
        <v>0.0660935020299591</v>
      </c>
    </row>
    <row r="470" customFormat="false" ht="15" hidden="false" customHeight="false" outlineLevel="0" collapsed="false">
      <c r="B470" s="125" t="str">
        <f aca="false">'Fleet Build'!B43</f>
        <v>Seven Seas Splendor</v>
      </c>
      <c r="C470" s="125" t="str">
        <f aca="false">'Fleet Build'!C43</f>
        <v>Regent</v>
      </c>
      <c r="D470" s="9" t="s">
        <v>622</v>
      </c>
      <c r="E470" s="111" t="n">
        <f aca="false">I$6</f>
        <v>2026.25</v>
      </c>
      <c r="F470" s="111" t="n">
        <f aca="false">E470+0.25</f>
        <v>2026.5</v>
      </c>
      <c r="G470" s="126" t="n">
        <f aca="false">'Fleet Build'!E43</f>
        <v>741.96667658435</v>
      </c>
      <c r="H470" s="127" t="n">
        <f aca="false">'Fleet Build'!F43</f>
        <v>2000</v>
      </c>
      <c r="I470" s="127" t="n">
        <f aca="false">'Fleet Build'!G43</f>
        <v>2099</v>
      </c>
      <c r="J470" s="128" t="n">
        <f aca="false">MAX(0,MIN(F470,I470)-MAX(E470,H470))</f>
        <v>0.25</v>
      </c>
      <c r="K470" s="129" t="n">
        <f aca="false">G470*J470*'Fleet Build'!$K$58/1000000</f>
        <v>0.0660935020299591</v>
      </c>
    </row>
    <row r="471" customFormat="false" ht="15" hidden="false" customHeight="false" outlineLevel="0" collapsed="false">
      <c r="B471" s="125" t="str">
        <f aca="false">'Fleet Build'!B43</f>
        <v>Seven Seas Splendor</v>
      </c>
      <c r="C471" s="125" t="str">
        <f aca="false">'Fleet Build'!C43</f>
        <v>Regent</v>
      </c>
      <c r="D471" s="9" t="s">
        <v>200</v>
      </c>
      <c r="E471" s="111" t="n">
        <f aca="false">J$6</f>
        <v>2026.5</v>
      </c>
      <c r="F471" s="111" t="n">
        <f aca="false">E471+0.25</f>
        <v>2026.75</v>
      </c>
      <c r="G471" s="126" t="n">
        <f aca="false">'Fleet Build'!E43</f>
        <v>741.96667658435</v>
      </c>
      <c r="H471" s="127" t="n">
        <f aca="false">'Fleet Build'!F43</f>
        <v>2000</v>
      </c>
      <c r="I471" s="127" t="n">
        <f aca="false">'Fleet Build'!G43</f>
        <v>2099</v>
      </c>
      <c r="J471" s="128" t="n">
        <f aca="false">MAX(0,MIN(F471,I471)-MAX(E471,H471))</f>
        <v>0.25</v>
      </c>
      <c r="K471" s="129" t="n">
        <f aca="false">G471*J471*'Fleet Build'!$K$58/1000000</f>
        <v>0.0660935020299591</v>
      </c>
    </row>
    <row r="472" customFormat="false" ht="15" hidden="false" customHeight="false" outlineLevel="0" collapsed="false">
      <c r="B472" s="125" t="str">
        <f aca="false">'Fleet Build'!B43</f>
        <v>Seven Seas Splendor</v>
      </c>
      <c r="C472" s="125" t="str">
        <f aca="false">'Fleet Build'!C43</f>
        <v>Regent</v>
      </c>
      <c r="D472" s="9" t="s">
        <v>201</v>
      </c>
      <c r="E472" s="111" t="n">
        <f aca="false">K$6</f>
        <v>2026.75</v>
      </c>
      <c r="F472" s="111" t="n">
        <f aca="false">E472+0.25</f>
        <v>2027</v>
      </c>
      <c r="G472" s="126" t="n">
        <f aca="false">'Fleet Build'!E43</f>
        <v>741.96667658435</v>
      </c>
      <c r="H472" s="127" t="n">
        <f aca="false">'Fleet Build'!F43</f>
        <v>2000</v>
      </c>
      <c r="I472" s="127" t="n">
        <f aca="false">'Fleet Build'!G43</f>
        <v>2099</v>
      </c>
      <c r="J472" s="128" t="n">
        <f aca="false">MAX(0,MIN(F472,I472)-MAX(E472,H472))</f>
        <v>0.25</v>
      </c>
      <c r="K472" s="129" t="n">
        <f aca="false">G472*J472*'Fleet Build'!$K$58/1000000</f>
        <v>0.0660935020299591</v>
      </c>
    </row>
    <row r="473" customFormat="false" ht="15" hidden="false" customHeight="false" outlineLevel="0" collapsed="false">
      <c r="B473" s="125" t="str">
        <f aca="false">'Fleet Build'!B43</f>
        <v>Seven Seas Splendor</v>
      </c>
      <c r="C473" s="125" t="str">
        <f aca="false">'Fleet Build'!C43</f>
        <v>Regent</v>
      </c>
      <c r="D473" s="9" t="s">
        <v>202</v>
      </c>
      <c r="E473" s="111" t="n">
        <f aca="false">L$6</f>
        <v>2027</v>
      </c>
      <c r="F473" s="111" t="n">
        <f aca="false">E473+0.25</f>
        <v>2027.25</v>
      </c>
      <c r="G473" s="126" t="n">
        <f aca="false">'Fleet Build'!E43</f>
        <v>741.96667658435</v>
      </c>
      <c r="H473" s="127" t="n">
        <f aca="false">'Fleet Build'!F43</f>
        <v>2000</v>
      </c>
      <c r="I473" s="127" t="n">
        <f aca="false">'Fleet Build'!G43</f>
        <v>2099</v>
      </c>
      <c r="J473" s="128" t="n">
        <f aca="false">MAX(0,MIN(F473,I473)-MAX(E473,H473))</f>
        <v>0.25</v>
      </c>
      <c r="K473" s="129" t="n">
        <f aca="false">G473*J473*'Fleet Build'!$K$58/1000000</f>
        <v>0.0660935020299591</v>
      </c>
    </row>
    <row r="474" customFormat="false" ht="15" hidden="false" customHeight="false" outlineLevel="0" collapsed="false">
      <c r="B474" s="125" t="str">
        <f aca="false">'Fleet Build'!B43</f>
        <v>Seven Seas Splendor</v>
      </c>
      <c r="C474" s="125" t="str">
        <f aca="false">'Fleet Build'!C43</f>
        <v>Regent</v>
      </c>
      <c r="D474" s="9" t="s">
        <v>203</v>
      </c>
      <c r="E474" s="111" t="n">
        <f aca="false">M$6</f>
        <v>2027.25</v>
      </c>
      <c r="F474" s="111" t="n">
        <f aca="false">E474+0.25</f>
        <v>2027.5</v>
      </c>
      <c r="G474" s="126" t="n">
        <f aca="false">'Fleet Build'!E43</f>
        <v>741.96667658435</v>
      </c>
      <c r="H474" s="127" t="n">
        <f aca="false">'Fleet Build'!F43</f>
        <v>2000</v>
      </c>
      <c r="I474" s="127" t="n">
        <f aca="false">'Fleet Build'!G43</f>
        <v>2099</v>
      </c>
      <c r="J474" s="128" t="n">
        <f aca="false">MAX(0,MIN(F474,I474)-MAX(E474,H474))</f>
        <v>0.25</v>
      </c>
      <c r="K474" s="129" t="n">
        <f aca="false">G474*J474*'Fleet Build'!$K$58/1000000</f>
        <v>0.0660935020299591</v>
      </c>
    </row>
    <row r="475" customFormat="false" ht="15" hidden="false" customHeight="false" outlineLevel="0" collapsed="false">
      <c r="B475" s="125" t="str">
        <f aca="false">'Fleet Build'!B43</f>
        <v>Seven Seas Splendor</v>
      </c>
      <c r="C475" s="125" t="str">
        <f aca="false">'Fleet Build'!C43</f>
        <v>Regent</v>
      </c>
      <c r="D475" s="9" t="s">
        <v>204</v>
      </c>
      <c r="E475" s="111" t="n">
        <f aca="false">N$6</f>
        <v>2027.5</v>
      </c>
      <c r="F475" s="111" t="n">
        <f aca="false">E475+0.25</f>
        <v>2027.75</v>
      </c>
      <c r="G475" s="126" t="n">
        <f aca="false">'Fleet Build'!E43</f>
        <v>741.96667658435</v>
      </c>
      <c r="H475" s="127" t="n">
        <f aca="false">'Fleet Build'!F43</f>
        <v>2000</v>
      </c>
      <c r="I475" s="127" t="n">
        <f aca="false">'Fleet Build'!G43</f>
        <v>2099</v>
      </c>
      <c r="J475" s="128" t="n">
        <f aca="false">MAX(0,MIN(F475,I475)-MAX(E475,H475))</f>
        <v>0.25</v>
      </c>
      <c r="K475" s="129" t="n">
        <f aca="false">G475*J475*'Fleet Build'!$K$58/1000000</f>
        <v>0.0660935020299591</v>
      </c>
    </row>
    <row r="476" customFormat="false" ht="15" hidden="false" customHeight="false" outlineLevel="0" collapsed="false">
      <c r="B476" s="125" t="str">
        <f aca="false">'Fleet Build'!B43</f>
        <v>Seven Seas Splendor</v>
      </c>
      <c r="C476" s="125" t="str">
        <f aca="false">'Fleet Build'!C43</f>
        <v>Regent</v>
      </c>
      <c r="D476" s="9" t="s">
        <v>205</v>
      </c>
      <c r="E476" s="111" t="n">
        <f aca="false">O$6</f>
        <v>2027.75</v>
      </c>
      <c r="F476" s="111" t="n">
        <f aca="false">E476+0.25</f>
        <v>2028</v>
      </c>
      <c r="G476" s="126" t="n">
        <f aca="false">'Fleet Build'!E43</f>
        <v>741.96667658435</v>
      </c>
      <c r="H476" s="127" t="n">
        <f aca="false">'Fleet Build'!F43</f>
        <v>2000</v>
      </c>
      <c r="I476" s="127" t="n">
        <f aca="false">'Fleet Build'!G43</f>
        <v>2099</v>
      </c>
      <c r="J476" s="128" t="n">
        <f aca="false">MAX(0,MIN(F476,I476)-MAX(E476,H476))</f>
        <v>0.25</v>
      </c>
      <c r="K476" s="129" t="n">
        <f aca="false">G476*J476*'Fleet Build'!$K$58/1000000</f>
        <v>0.0660935020299591</v>
      </c>
    </row>
    <row r="477" customFormat="false" ht="15" hidden="false" customHeight="false" outlineLevel="0" collapsed="false">
      <c r="B477" s="125" t="str">
        <f aca="false">'Fleet Build'!B44</f>
        <v>Seven Seas Explorer</v>
      </c>
      <c r="C477" s="125" t="str">
        <f aca="false">'Fleet Build'!C44</f>
        <v>Regent</v>
      </c>
      <c r="D477" s="9" t="s">
        <v>617</v>
      </c>
      <c r="E477" s="111" t="n">
        <f aca="false">D$6</f>
        <v>2025</v>
      </c>
      <c r="F477" s="111" t="n">
        <f aca="false">E477+0.25</f>
        <v>2025.25</v>
      </c>
      <c r="G477" s="126" t="n">
        <f aca="false">'Fleet Build'!E44</f>
        <v>741.96667658435</v>
      </c>
      <c r="H477" s="127" t="n">
        <f aca="false">'Fleet Build'!F44</f>
        <v>2000</v>
      </c>
      <c r="I477" s="127" t="n">
        <f aca="false">'Fleet Build'!G44</f>
        <v>2099</v>
      </c>
      <c r="J477" s="128" t="n">
        <f aca="false">MAX(0,MIN(F477,I477)-MAX(E477,H477))</f>
        <v>0.25</v>
      </c>
      <c r="K477" s="129" t="n">
        <f aca="false">G477*J477*'Fleet Build'!$K$58/1000000</f>
        <v>0.0660935020299591</v>
      </c>
    </row>
    <row r="478" customFormat="false" ht="15" hidden="false" customHeight="false" outlineLevel="0" collapsed="false">
      <c r="B478" s="125" t="str">
        <f aca="false">'Fleet Build'!B44</f>
        <v>Seven Seas Explorer</v>
      </c>
      <c r="C478" s="125" t="str">
        <f aca="false">'Fleet Build'!C44</f>
        <v>Regent</v>
      </c>
      <c r="D478" s="9" t="s">
        <v>618</v>
      </c>
      <c r="E478" s="111" t="n">
        <f aca="false">E$6</f>
        <v>2025.25</v>
      </c>
      <c r="F478" s="111" t="n">
        <f aca="false">E478+0.25</f>
        <v>2025.5</v>
      </c>
      <c r="G478" s="126" t="n">
        <f aca="false">'Fleet Build'!E44</f>
        <v>741.96667658435</v>
      </c>
      <c r="H478" s="127" t="n">
        <f aca="false">'Fleet Build'!F44</f>
        <v>2000</v>
      </c>
      <c r="I478" s="127" t="n">
        <f aca="false">'Fleet Build'!G44</f>
        <v>2099</v>
      </c>
      <c r="J478" s="128" t="n">
        <f aca="false">MAX(0,MIN(F478,I478)-MAX(E478,H478))</f>
        <v>0.25</v>
      </c>
      <c r="K478" s="129" t="n">
        <f aca="false">G478*J478*'Fleet Build'!$K$58/1000000</f>
        <v>0.0660935020299591</v>
      </c>
    </row>
    <row r="479" customFormat="false" ht="15" hidden="false" customHeight="false" outlineLevel="0" collapsed="false">
      <c r="B479" s="125" t="str">
        <f aca="false">'Fleet Build'!B44</f>
        <v>Seven Seas Explorer</v>
      </c>
      <c r="C479" s="125" t="str">
        <f aca="false">'Fleet Build'!C44</f>
        <v>Regent</v>
      </c>
      <c r="D479" s="9" t="s">
        <v>619</v>
      </c>
      <c r="E479" s="111" t="n">
        <f aca="false">F$6</f>
        <v>2025.5</v>
      </c>
      <c r="F479" s="111" t="n">
        <f aca="false">E479+0.25</f>
        <v>2025.75</v>
      </c>
      <c r="G479" s="126" t="n">
        <f aca="false">'Fleet Build'!E44</f>
        <v>741.96667658435</v>
      </c>
      <c r="H479" s="127" t="n">
        <f aca="false">'Fleet Build'!F44</f>
        <v>2000</v>
      </c>
      <c r="I479" s="127" t="n">
        <f aca="false">'Fleet Build'!G44</f>
        <v>2099</v>
      </c>
      <c r="J479" s="128" t="n">
        <f aca="false">MAX(0,MIN(F479,I479)-MAX(E479,H479))</f>
        <v>0.25</v>
      </c>
      <c r="K479" s="129" t="n">
        <f aca="false">G479*J479*'Fleet Build'!$K$58/1000000</f>
        <v>0.0660935020299591</v>
      </c>
    </row>
    <row r="480" customFormat="false" ht="15" hidden="false" customHeight="false" outlineLevel="0" collapsed="false">
      <c r="B480" s="125" t="str">
        <f aca="false">'Fleet Build'!B44</f>
        <v>Seven Seas Explorer</v>
      </c>
      <c r="C480" s="125" t="str">
        <f aca="false">'Fleet Build'!C44</f>
        <v>Regent</v>
      </c>
      <c r="D480" s="9" t="s">
        <v>620</v>
      </c>
      <c r="E480" s="111" t="n">
        <f aca="false">G$6</f>
        <v>2025.75</v>
      </c>
      <c r="F480" s="111" t="n">
        <f aca="false">E480+0.25</f>
        <v>2026</v>
      </c>
      <c r="G480" s="126" t="n">
        <f aca="false">'Fleet Build'!E44</f>
        <v>741.96667658435</v>
      </c>
      <c r="H480" s="127" t="n">
        <f aca="false">'Fleet Build'!F44</f>
        <v>2000</v>
      </c>
      <c r="I480" s="127" t="n">
        <f aca="false">'Fleet Build'!G44</f>
        <v>2099</v>
      </c>
      <c r="J480" s="128" t="n">
        <f aca="false">MAX(0,MIN(F480,I480)-MAX(E480,H480))</f>
        <v>0.25</v>
      </c>
      <c r="K480" s="129" t="n">
        <f aca="false">G480*J480*'Fleet Build'!$K$58/1000000</f>
        <v>0.0660935020299591</v>
      </c>
    </row>
    <row r="481" customFormat="false" ht="15" hidden="false" customHeight="false" outlineLevel="0" collapsed="false">
      <c r="B481" s="125" t="str">
        <f aca="false">'Fleet Build'!B44</f>
        <v>Seven Seas Explorer</v>
      </c>
      <c r="C481" s="125" t="str">
        <f aca="false">'Fleet Build'!C44</f>
        <v>Regent</v>
      </c>
      <c r="D481" s="9" t="s">
        <v>621</v>
      </c>
      <c r="E481" s="111" t="n">
        <f aca="false">H$6</f>
        <v>2026</v>
      </c>
      <c r="F481" s="111" t="n">
        <f aca="false">E481+0.25</f>
        <v>2026.25</v>
      </c>
      <c r="G481" s="126" t="n">
        <f aca="false">'Fleet Build'!E44</f>
        <v>741.96667658435</v>
      </c>
      <c r="H481" s="127" t="n">
        <f aca="false">'Fleet Build'!F44</f>
        <v>2000</v>
      </c>
      <c r="I481" s="127" t="n">
        <f aca="false">'Fleet Build'!G44</f>
        <v>2099</v>
      </c>
      <c r="J481" s="128" t="n">
        <f aca="false">MAX(0,MIN(F481,I481)-MAX(E481,H481))</f>
        <v>0.25</v>
      </c>
      <c r="K481" s="129" t="n">
        <f aca="false">G481*J481*'Fleet Build'!$K$58/1000000</f>
        <v>0.0660935020299591</v>
      </c>
    </row>
    <row r="482" customFormat="false" ht="15" hidden="false" customHeight="false" outlineLevel="0" collapsed="false">
      <c r="B482" s="125" t="str">
        <f aca="false">'Fleet Build'!B44</f>
        <v>Seven Seas Explorer</v>
      </c>
      <c r="C482" s="125" t="str">
        <f aca="false">'Fleet Build'!C44</f>
        <v>Regent</v>
      </c>
      <c r="D482" s="9" t="s">
        <v>622</v>
      </c>
      <c r="E482" s="111" t="n">
        <f aca="false">I$6</f>
        <v>2026.25</v>
      </c>
      <c r="F482" s="111" t="n">
        <f aca="false">E482+0.25</f>
        <v>2026.5</v>
      </c>
      <c r="G482" s="126" t="n">
        <f aca="false">'Fleet Build'!E44</f>
        <v>741.96667658435</v>
      </c>
      <c r="H482" s="127" t="n">
        <f aca="false">'Fleet Build'!F44</f>
        <v>2000</v>
      </c>
      <c r="I482" s="127" t="n">
        <f aca="false">'Fleet Build'!G44</f>
        <v>2099</v>
      </c>
      <c r="J482" s="128" t="n">
        <f aca="false">MAX(0,MIN(F482,I482)-MAX(E482,H482))</f>
        <v>0.25</v>
      </c>
      <c r="K482" s="129" t="n">
        <f aca="false">G482*J482*'Fleet Build'!$K$58/1000000</f>
        <v>0.0660935020299591</v>
      </c>
    </row>
    <row r="483" customFormat="false" ht="15" hidden="false" customHeight="false" outlineLevel="0" collapsed="false">
      <c r="B483" s="125" t="str">
        <f aca="false">'Fleet Build'!B44</f>
        <v>Seven Seas Explorer</v>
      </c>
      <c r="C483" s="125" t="str">
        <f aca="false">'Fleet Build'!C44</f>
        <v>Regent</v>
      </c>
      <c r="D483" s="9" t="s">
        <v>200</v>
      </c>
      <c r="E483" s="111" t="n">
        <f aca="false">J$6</f>
        <v>2026.5</v>
      </c>
      <c r="F483" s="111" t="n">
        <f aca="false">E483+0.25</f>
        <v>2026.75</v>
      </c>
      <c r="G483" s="126" t="n">
        <f aca="false">'Fleet Build'!E44</f>
        <v>741.96667658435</v>
      </c>
      <c r="H483" s="127" t="n">
        <f aca="false">'Fleet Build'!F44</f>
        <v>2000</v>
      </c>
      <c r="I483" s="127" t="n">
        <f aca="false">'Fleet Build'!G44</f>
        <v>2099</v>
      </c>
      <c r="J483" s="128" t="n">
        <f aca="false">MAX(0,MIN(F483,I483)-MAX(E483,H483))</f>
        <v>0.25</v>
      </c>
      <c r="K483" s="129" t="n">
        <f aca="false">G483*J483*'Fleet Build'!$K$58/1000000</f>
        <v>0.0660935020299591</v>
      </c>
    </row>
    <row r="484" customFormat="false" ht="15" hidden="false" customHeight="false" outlineLevel="0" collapsed="false">
      <c r="B484" s="125" t="str">
        <f aca="false">'Fleet Build'!B44</f>
        <v>Seven Seas Explorer</v>
      </c>
      <c r="C484" s="125" t="str">
        <f aca="false">'Fleet Build'!C44</f>
        <v>Regent</v>
      </c>
      <c r="D484" s="9" t="s">
        <v>201</v>
      </c>
      <c r="E484" s="111" t="n">
        <f aca="false">K$6</f>
        <v>2026.75</v>
      </c>
      <c r="F484" s="111" t="n">
        <f aca="false">E484+0.25</f>
        <v>2027</v>
      </c>
      <c r="G484" s="126" t="n">
        <f aca="false">'Fleet Build'!E44</f>
        <v>741.96667658435</v>
      </c>
      <c r="H484" s="127" t="n">
        <f aca="false">'Fleet Build'!F44</f>
        <v>2000</v>
      </c>
      <c r="I484" s="127" t="n">
        <f aca="false">'Fleet Build'!G44</f>
        <v>2099</v>
      </c>
      <c r="J484" s="128" t="n">
        <f aca="false">MAX(0,MIN(F484,I484)-MAX(E484,H484))</f>
        <v>0.25</v>
      </c>
      <c r="K484" s="129" t="n">
        <f aca="false">G484*J484*'Fleet Build'!$K$58/1000000</f>
        <v>0.0660935020299591</v>
      </c>
    </row>
    <row r="485" customFormat="false" ht="15" hidden="false" customHeight="false" outlineLevel="0" collapsed="false">
      <c r="B485" s="125" t="str">
        <f aca="false">'Fleet Build'!B44</f>
        <v>Seven Seas Explorer</v>
      </c>
      <c r="C485" s="125" t="str">
        <f aca="false">'Fleet Build'!C44</f>
        <v>Regent</v>
      </c>
      <c r="D485" s="9" t="s">
        <v>202</v>
      </c>
      <c r="E485" s="111" t="n">
        <f aca="false">L$6</f>
        <v>2027</v>
      </c>
      <c r="F485" s="111" t="n">
        <f aca="false">E485+0.25</f>
        <v>2027.25</v>
      </c>
      <c r="G485" s="126" t="n">
        <f aca="false">'Fleet Build'!E44</f>
        <v>741.96667658435</v>
      </c>
      <c r="H485" s="127" t="n">
        <f aca="false">'Fleet Build'!F44</f>
        <v>2000</v>
      </c>
      <c r="I485" s="127" t="n">
        <f aca="false">'Fleet Build'!G44</f>
        <v>2099</v>
      </c>
      <c r="J485" s="128" t="n">
        <f aca="false">MAX(0,MIN(F485,I485)-MAX(E485,H485))</f>
        <v>0.25</v>
      </c>
      <c r="K485" s="129" t="n">
        <f aca="false">G485*J485*'Fleet Build'!$K$58/1000000</f>
        <v>0.0660935020299591</v>
      </c>
    </row>
    <row r="486" customFormat="false" ht="15" hidden="false" customHeight="false" outlineLevel="0" collapsed="false">
      <c r="B486" s="125" t="str">
        <f aca="false">'Fleet Build'!B44</f>
        <v>Seven Seas Explorer</v>
      </c>
      <c r="C486" s="125" t="str">
        <f aca="false">'Fleet Build'!C44</f>
        <v>Regent</v>
      </c>
      <c r="D486" s="9" t="s">
        <v>203</v>
      </c>
      <c r="E486" s="111" t="n">
        <f aca="false">M$6</f>
        <v>2027.25</v>
      </c>
      <c r="F486" s="111" t="n">
        <f aca="false">E486+0.25</f>
        <v>2027.5</v>
      </c>
      <c r="G486" s="126" t="n">
        <f aca="false">'Fleet Build'!E44</f>
        <v>741.96667658435</v>
      </c>
      <c r="H486" s="127" t="n">
        <f aca="false">'Fleet Build'!F44</f>
        <v>2000</v>
      </c>
      <c r="I486" s="127" t="n">
        <f aca="false">'Fleet Build'!G44</f>
        <v>2099</v>
      </c>
      <c r="J486" s="128" t="n">
        <f aca="false">MAX(0,MIN(F486,I486)-MAX(E486,H486))</f>
        <v>0.25</v>
      </c>
      <c r="K486" s="129" t="n">
        <f aca="false">G486*J486*'Fleet Build'!$K$58/1000000</f>
        <v>0.0660935020299591</v>
      </c>
    </row>
    <row r="487" customFormat="false" ht="15" hidden="false" customHeight="false" outlineLevel="0" collapsed="false">
      <c r="B487" s="125" t="str">
        <f aca="false">'Fleet Build'!B44</f>
        <v>Seven Seas Explorer</v>
      </c>
      <c r="C487" s="125" t="str">
        <f aca="false">'Fleet Build'!C44</f>
        <v>Regent</v>
      </c>
      <c r="D487" s="9" t="s">
        <v>204</v>
      </c>
      <c r="E487" s="111" t="n">
        <f aca="false">N$6</f>
        <v>2027.5</v>
      </c>
      <c r="F487" s="111" t="n">
        <f aca="false">E487+0.25</f>
        <v>2027.75</v>
      </c>
      <c r="G487" s="126" t="n">
        <f aca="false">'Fleet Build'!E44</f>
        <v>741.96667658435</v>
      </c>
      <c r="H487" s="127" t="n">
        <f aca="false">'Fleet Build'!F44</f>
        <v>2000</v>
      </c>
      <c r="I487" s="127" t="n">
        <f aca="false">'Fleet Build'!G44</f>
        <v>2099</v>
      </c>
      <c r="J487" s="128" t="n">
        <f aca="false">MAX(0,MIN(F487,I487)-MAX(E487,H487))</f>
        <v>0.25</v>
      </c>
      <c r="K487" s="129" t="n">
        <f aca="false">G487*J487*'Fleet Build'!$K$58/1000000</f>
        <v>0.0660935020299591</v>
      </c>
    </row>
    <row r="488" customFormat="false" ht="15" hidden="false" customHeight="false" outlineLevel="0" collapsed="false">
      <c r="B488" s="125" t="str">
        <f aca="false">'Fleet Build'!B44</f>
        <v>Seven Seas Explorer</v>
      </c>
      <c r="C488" s="125" t="str">
        <f aca="false">'Fleet Build'!C44</f>
        <v>Regent</v>
      </c>
      <c r="D488" s="9" t="s">
        <v>205</v>
      </c>
      <c r="E488" s="111" t="n">
        <f aca="false">O$6</f>
        <v>2027.75</v>
      </c>
      <c r="F488" s="111" t="n">
        <f aca="false">E488+0.25</f>
        <v>2028</v>
      </c>
      <c r="G488" s="126" t="n">
        <f aca="false">'Fleet Build'!E44</f>
        <v>741.96667658435</v>
      </c>
      <c r="H488" s="127" t="n">
        <f aca="false">'Fleet Build'!F44</f>
        <v>2000</v>
      </c>
      <c r="I488" s="127" t="n">
        <f aca="false">'Fleet Build'!G44</f>
        <v>2099</v>
      </c>
      <c r="J488" s="128" t="n">
        <f aca="false">MAX(0,MIN(F488,I488)-MAX(E488,H488))</f>
        <v>0.25</v>
      </c>
      <c r="K488" s="129" t="n">
        <f aca="false">G488*J488*'Fleet Build'!$K$58/1000000</f>
        <v>0.0660935020299591</v>
      </c>
    </row>
    <row r="489" customFormat="false" ht="15" hidden="false" customHeight="false" outlineLevel="0" collapsed="false">
      <c r="B489" s="125" t="str">
        <f aca="false">'Fleet Build'!B45</f>
        <v>Seven Seas Voyager</v>
      </c>
      <c r="C489" s="125" t="str">
        <f aca="false">'Fleet Build'!C45</f>
        <v>Regent</v>
      </c>
      <c r="D489" s="9" t="s">
        <v>617</v>
      </c>
      <c r="E489" s="111" t="n">
        <f aca="false">D$6</f>
        <v>2025</v>
      </c>
      <c r="F489" s="111" t="n">
        <f aca="false">E489+0.25</f>
        <v>2025.25</v>
      </c>
      <c r="G489" s="126" t="n">
        <f aca="false">'Fleet Build'!E45</f>
        <v>692.502231478727</v>
      </c>
      <c r="H489" s="127" t="n">
        <f aca="false">'Fleet Build'!F45</f>
        <v>2000</v>
      </c>
      <c r="I489" s="127" t="n">
        <f aca="false">'Fleet Build'!G45</f>
        <v>2099</v>
      </c>
      <c r="J489" s="128" t="n">
        <f aca="false">MAX(0,MIN(F489,I489)-MAX(E489,H489))</f>
        <v>0.25</v>
      </c>
      <c r="K489" s="129" t="n">
        <f aca="false">G489*J489*'Fleet Build'!$K$58/1000000</f>
        <v>0.0616872685612952</v>
      </c>
    </row>
    <row r="490" customFormat="false" ht="15" hidden="false" customHeight="false" outlineLevel="0" collapsed="false">
      <c r="B490" s="125" t="str">
        <f aca="false">'Fleet Build'!B45</f>
        <v>Seven Seas Voyager</v>
      </c>
      <c r="C490" s="125" t="str">
        <f aca="false">'Fleet Build'!C45</f>
        <v>Regent</v>
      </c>
      <c r="D490" s="9" t="s">
        <v>618</v>
      </c>
      <c r="E490" s="111" t="n">
        <f aca="false">E$6</f>
        <v>2025.25</v>
      </c>
      <c r="F490" s="111" t="n">
        <f aca="false">E490+0.25</f>
        <v>2025.5</v>
      </c>
      <c r="G490" s="126" t="n">
        <f aca="false">'Fleet Build'!E45</f>
        <v>692.502231478727</v>
      </c>
      <c r="H490" s="127" t="n">
        <f aca="false">'Fleet Build'!F45</f>
        <v>2000</v>
      </c>
      <c r="I490" s="127" t="n">
        <f aca="false">'Fleet Build'!G45</f>
        <v>2099</v>
      </c>
      <c r="J490" s="128" t="n">
        <f aca="false">MAX(0,MIN(F490,I490)-MAX(E490,H490))</f>
        <v>0.25</v>
      </c>
      <c r="K490" s="129" t="n">
        <f aca="false">G490*J490*'Fleet Build'!$K$58/1000000</f>
        <v>0.0616872685612952</v>
      </c>
    </row>
    <row r="491" customFormat="false" ht="15" hidden="false" customHeight="false" outlineLevel="0" collapsed="false">
      <c r="B491" s="125" t="str">
        <f aca="false">'Fleet Build'!B45</f>
        <v>Seven Seas Voyager</v>
      </c>
      <c r="C491" s="125" t="str">
        <f aca="false">'Fleet Build'!C45</f>
        <v>Regent</v>
      </c>
      <c r="D491" s="9" t="s">
        <v>619</v>
      </c>
      <c r="E491" s="111" t="n">
        <f aca="false">F$6</f>
        <v>2025.5</v>
      </c>
      <c r="F491" s="111" t="n">
        <f aca="false">E491+0.25</f>
        <v>2025.75</v>
      </c>
      <c r="G491" s="126" t="n">
        <f aca="false">'Fleet Build'!E45</f>
        <v>692.502231478727</v>
      </c>
      <c r="H491" s="127" t="n">
        <f aca="false">'Fleet Build'!F45</f>
        <v>2000</v>
      </c>
      <c r="I491" s="127" t="n">
        <f aca="false">'Fleet Build'!G45</f>
        <v>2099</v>
      </c>
      <c r="J491" s="128" t="n">
        <f aca="false">MAX(0,MIN(F491,I491)-MAX(E491,H491))</f>
        <v>0.25</v>
      </c>
      <c r="K491" s="129" t="n">
        <f aca="false">G491*J491*'Fleet Build'!$K$58/1000000</f>
        <v>0.0616872685612952</v>
      </c>
    </row>
    <row r="492" customFormat="false" ht="15" hidden="false" customHeight="false" outlineLevel="0" collapsed="false">
      <c r="B492" s="125" t="str">
        <f aca="false">'Fleet Build'!B45</f>
        <v>Seven Seas Voyager</v>
      </c>
      <c r="C492" s="125" t="str">
        <f aca="false">'Fleet Build'!C45</f>
        <v>Regent</v>
      </c>
      <c r="D492" s="9" t="s">
        <v>620</v>
      </c>
      <c r="E492" s="111" t="n">
        <f aca="false">G$6</f>
        <v>2025.75</v>
      </c>
      <c r="F492" s="111" t="n">
        <f aca="false">E492+0.25</f>
        <v>2026</v>
      </c>
      <c r="G492" s="126" t="n">
        <f aca="false">'Fleet Build'!E45</f>
        <v>692.502231478727</v>
      </c>
      <c r="H492" s="127" t="n">
        <f aca="false">'Fleet Build'!F45</f>
        <v>2000</v>
      </c>
      <c r="I492" s="127" t="n">
        <f aca="false">'Fleet Build'!G45</f>
        <v>2099</v>
      </c>
      <c r="J492" s="128" t="n">
        <f aca="false">MAX(0,MIN(F492,I492)-MAX(E492,H492))</f>
        <v>0.25</v>
      </c>
      <c r="K492" s="129" t="n">
        <f aca="false">G492*J492*'Fleet Build'!$K$58/1000000</f>
        <v>0.0616872685612952</v>
      </c>
    </row>
    <row r="493" customFormat="false" ht="15" hidden="false" customHeight="false" outlineLevel="0" collapsed="false">
      <c r="B493" s="125" t="str">
        <f aca="false">'Fleet Build'!B45</f>
        <v>Seven Seas Voyager</v>
      </c>
      <c r="C493" s="125" t="str">
        <f aca="false">'Fleet Build'!C45</f>
        <v>Regent</v>
      </c>
      <c r="D493" s="9" t="s">
        <v>621</v>
      </c>
      <c r="E493" s="111" t="n">
        <f aca="false">H$6</f>
        <v>2026</v>
      </c>
      <c r="F493" s="111" t="n">
        <f aca="false">E493+0.25</f>
        <v>2026.25</v>
      </c>
      <c r="G493" s="126" t="n">
        <f aca="false">'Fleet Build'!E45</f>
        <v>692.502231478727</v>
      </c>
      <c r="H493" s="127" t="n">
        <f aca="false">'Fleet Build'!F45</f>
        <v>2000</v>
      </c>
      <c r="I493" s="127" t="n">
        <f aca="false">'Fleet Build'!G45</f>
        <v>2099</v>
      </c>
      <c r="J493" s="128" t="n">
        <f aca="false">MAX(0,MIN(F493,I493)-MAX(E493,H493))</f>
        <v>0.25</v>
      </c>
      <c r="K493" s="129" t="n">
        <f aca="false">G493*J493*'Fleet Build'!$K$58/1000000</f>
        <v>0.0616872685612952</v>
      </c>
    </row>
    <row r="494" customFormat="false" ht="15" hidden="false" customHeight="false" outlineLevel="0" collapsed="false">
      <c r="B494" s="125" t="str">
        <f aca="false">'Fleet Build'!B45</f>
        <v>Seven Seas Voyager</v>
      </c>
      <c r="C494" s="125" t="str">
        <f aca="false">'Fleet Build'!C45</f>
        <v>Regent</v>
      </c>
      <c r="D494" s="9" t="s">
        <v>622</v>
      </c>
      <c r="E494" s="111" t="n">
        <f aca="false">I$6</f>
        <v>2026.25</v>
      </c>
      <c r="F494" s="111" t="n">
        <f aca="false">E494+0.25</f>
        <v>2026.5</v>
      </c>
      <c r="G494" s="126" t="n">
        <f aca="false">'Fleet Build'!E45</f>
        <v>692.502231478727</v>
      </c>
      <c r="H494" s="127" t="n">
        <f aca="false">'Fleet Build'!F45</f>
        <v>2000</v>
      </c>
      <c r="I494" s="127" t="n">
        <f aca="false">'Fleet Build'!G45</f>
        <v>2099</v>
      </c>
      <c r="J494" s="128" t="n">
        <f aca="false">MAX(0,MIN(F494,I494)-MAX(E494,H494))</f>
        <v>0.25</v>
      </c>
      <c r="K494" s="129" t="n">
        <f aca="false">G494*J494*'Fleet Build'!$K$58/1000000</f>
        <v>0.0616872685612952</v>
      </c>
    </row>
    <row r="495" customFormat="false" ht="15" hidden="false" customHeight="false" outlineLevel="0" collapsed="false">
      <c r="B495" s="125" t="str">
        <f aca="false">'Fleet Build'!B45</f>
        <v>Seven Seas Voyager</v>
      </c>
      <c r="C495" s="125" t="str">
        <f aca="false">'Fleet Build'!C45</f>
        <v>Regent</v>
      </c>
      <c r="D495" s="9" t="s">
        <v>200</v>
      </c>
      <c r="E495" s="111" t="n">
        <f aca="false">J$6</f>
        <v>2026.5</v>
      </c>
      <c r="F495" s="111" t="n">
        <f aca="false">E495+0.25</f>
        <v>2026.75</v>
      </c>
      <c r="G495" s="126" t="n">
        <f aca="false">'Fleet Build'!E45</f>
        <v>692.502231478727</v>
      </c>
      <c r="H495" s="127" t="n">
        <f aca="false">'Fleet Build'!F45</f>
        <v>2000</v>
      </c>
      <c r="I495" s="127" t="n">
        <f aca="false">'Fleet Build'!G45</f>
        <v>2099</v>
      </c>
      <c r="J495" s="128" t="n">
        <f aca="false">MAX(0,MIN(F495,I495)-MAX(E495,H495))</f>
        <v>0.25</v>
      </c>
      <c r="K495" s="129" t="n">
        <f aca="false">G495*J495*'Fleet Build'!$K$58/1000000</f>
        <v>0.0616872685612952</v>
      </c>
    </row>
    <row r="496" customFormat="false" ht="15" hidden="false" customHeight="false" outlineLevel="0" collapsed="false">
      <c r="B496" s="125" t="str">
        <f aca="false">'Fleet Build'!B45</f>
        <v>Seven Seas Voyager</v>
      </c>
      <c r="C496" s="125" t="str">
        <f aca="false">'Fleet Build'!C45</f>
        <v>Regent</v>
      </c>
      <c r="D496" s="9" t="s">
        <v>201</v>
      </c>
      <c r="E496" s="111" t="n">
        <f aca="false">K$6</f>
        <v>2026.75</v>
      </c>
      <c r="F496" s="111" t="n">
        <f aca="false">E496+0.25</f>
        <v>2027</v>
      </c>
      <c r="G496" s="126" t="n">
        <f aca="false">'Fleet Build'!E45</f>
        <v>692.502231478727</v>
      </c>
      <c r="H496" s="127" t="n">
        <f aca="false">'Fleet Build'!F45</f>
        <v>2000</v>
      </c>
      <c r="I496" s="127" t="n">
        <f aca="false">'Fleet Build'!G45</f>
        <v>2099</v>
      </c>
      <c r="J496" s="128" t="n">
        <f aca="false">MAX(0,MIN(F496,I496)-MAX(E496,H496))</f>
        <v>0.25</v>
      </c>
      <c r="K496" s="129" t="n">
        <f aca="false">G496*J496*'Fleet Build'!$K$58/1000000</f>
        <v>0.0616872685612952</v>
      </c>
    </row>
    <row r="497" customFormat="false" ht="15" hidden="false" customHeight="false" outlineLevel="0" collapsed="false">
      <c r="B497" s="125" t="str">
        <f aca="false">'Fleet Build'!B45</f>
        <v>Seven Seas Voyager</v>
      </c>
      <c r="C497" s="125" t="str">
        <f aca="false">'Fleet Build'!C45</f>
        <v>Regent</v>
      </c>
      <c r="D497" s="9" t="s">
        <v>202</v>
      </c>
      <c r="E497" s="111" t="n">
        <f aca="false">L$6</f>
        <v>2027</v>
      </c>
      <c r="F497" s="111" t="n">
        <f aca="false">E497+0.25</f>
        <v>2027.25</v>
      </c>
      <c r="G497" s="126" t="n">
        <f aca="false">'Fleet Build'!E45</f>
        <v>692.502231478727</v>
      </c>
      <c r="H497" s="127" t="n">
        <f aca="false">'Fleet Build'!F45</f>
        <v>2000</v>
      </c>
      <c r="I497" s="127" t="n">
        <f aca="false">'Fleet Build'!G45</f>
        <v>2099</v>
      </c>
      <c r="J497" s="128" t="n">
        <f aca="false">MAX(0,MIN(F497,I497)-MAX(E497,H497))</f>
        <v>0.25</v>
      </c>
      <c r="K497" s="129" t="n">
        <f aca="false">G497*J497*'Fleet Build'!$K$58/1000000</f>
        <v>0.0616872685612952</v>
      </c>
    </row>
    <row r="498" customFormat="false" ht="15" hidden="false" customHeight="false" outlineLevel="0" collapsed="false">
      <c r="B498" s="125" t="str">
        <f aca="false">'Fleet Build'!B45</f>
        <v>Seven Seas Voyager</v>
      </c>
      <c r="C498" s="125" t="str">
        <f aca="false">'Fleet Build'!C45</f>
        <v>Regent</v>
      </c>
      <c r="D498" s="9" t="s">
        <v>203</v>
      </c>
      <c r="E498" s="111" t="n">
        <f aca="false">M$6</f>
        <v>2027.25</v>
      </c>
      <c r="F498" s="111" t="n">
        <f aca="false">E498+0.25</f>
        <v>2027.5</v>
      </c>
      <c r="G498" s="126" t="n">
        <f aca="false">'Fleet Build'!E45</f>
        <v>692.502231478727</v>
      </c>
      <c r="H498" s="127" t="n">
        <f aca="false">'Fleet Build'!F45</f>
        <v>2000</v>
      </c>
      <c r="I498" s="127" t="n">
        <f aca="false">'Fleet Build'!G45</f>
        <v>2099</v>
      </c>
      <c r="J498" s="128" t="n">
        <f aca="false">MAX(0,MIN(F498,I498)-MAX(E498,H498))</f>
        <v>0.25</v>
      </c>
      <c r="K498" s="129" t="n">
        <f aca="false">G498*J498*'Fleet Build'!$K$58/1000000</f>
        <v>0.0616872685612952</v>
      </c>
    </row>
    <row r="499" customFormat="false" ht="15" hidden="false" customHeight="false" outlineLevel="0" collapsed="false">
      <c r="B499" s="125" t="str">
        <f aca="false">'Fleet Build'!B45</f>
        <v>Seven Seas Voyager</v>
      </c>
      <c r="C499" s="125" t="str">
        <f aca="false">'Fleet Build'!C45</f>
        <v>Regent</v>
      </c>
      <c r="D499" s="9" t="s">
        <v>204</v>
      </c>
      <c r="E499" s="111" t="n">
        <f aca="false">N$6</f>
        <v>2027.5</v>
      </c>
      <c r="F499" s="111" t="n">
        <f aca="false">E499+0.25</f>
        <v>2027.75</v>
      </c>
      <c r="G499" s="126" t="n">
        <f aca="false">'Fleet Build'!E45</f>
        <v>692.502231478727</v>
      </c>
      <c r="H499" s="127" t="n">
        <f aca="false">'Fleet Build'!F45</f>
        <v>2000</v>
      </c>
      <c r="I499" s="127" t="n">
        <f aca="false">'Fleet Build'!G45</f>
        <v>2099</v>
      </c>
      <c r="J499" s="128" t="n">
        <f aca="false">MAX(0,MIN(F499,I499)-MAX(E499,H499))</f>
        <v>0.25</v>
      </c>
      <c r="K499" s="129" t="n">
        <f aca="false">G499*J499*'Fleet Build'!$K$58/1000000</f>
        <v>0.0616872685612952</v>
      </c>
    </row>
    <row r="500" customFormat="false" ht="15" hidden="false" customHeight="false" outlineLevel="0" collapsed="false">
      <c r="B500" s="125" t="str">
        <f aca="false">'Fleet Build'!B45</f>
        <v>Seven Seas Voyager</v>
      </c>
      <c r="C500" s="125" t="str">
        <f aca="false">'Fleet Build'!C45</f>
        <v>Regent</v>
      </c>
      <c r="D500" s="9" t="s">
        <v>205</v>
      </c>
      <c r="E500" s="111" t="n">
        <f aca="false">O$6</f>
        <v>2027.75</v>
      </c>
      <c r="F500" s="111" t="n">
        <f aca="false">E500+0.25</f>
        <v>2028</v>
      </c>
      <c r="G500" s="126" t="n">
        <f aca="false">'Fleet Build'!E45</f>
        <v>692.502231478727</v>
      </c>
      <c r="H500" s="127" t="n">
        <f aca="false">'Fleet Build'!F45</f>
        <v>2000</v>
      </c>
      <c r="I500" s="127" t="n">
        <f aca="false">'Fleet Build'!G45</f>
        <v>2099</v>
      </c>
      <c r="J500" s="128" t="n">
        <f aca="false">MAX(0,MIN(F500,I500)-MAX(E500,H500))</f>
        <v>0.25</v>
      </c>
      <c r="K500" s="129" t="n">
        <f aca="false">G500*J500*'Fleet Build'!$K$58/1000000</f>
        <v>0.0616872685612952</v>
      </c>
    </row>
    <row r="501" customFormat="false" ht="15" hidden="false" customHeight="false" outlineLevel="0" collapsed="false">
      <c r="B501" s="125" t="str">
        <f aca="false">'Fleet Build'!B46</f>
        <v>Seven Seas Mariner</v>
      </c>
      <c r="C501" s="125" t="str">
        <f aca="false">'Fleet Build'!C46</f>
        <v>Regent</v>
      </c>
      <c r="D501" s="9" t="s">
        <v>617</v>
      </c>
      <c r="E501" s="111" t="n">
        <f aca="false">D$6</f>
        <v>2025</v>
      </c>
      <c r="F501" s="111" t="n">
        <f aca="false">E501+0.25</f>
        <v>2025.25</v>
      </c>
      <c r="G501" s="126" t="n">
        <f aca="false">'Fleet Build'!E46</f>
        <v>692.502231478727</v>
      </c>
      <c r="H501" s="127" t="n">
        <f aca="false">'Fleet Build'!F46</f>
        <v>2000</v>
      </c>
      <c r="I501" s="127" t="n">
        <f aca="false">'Fleet Build'!G46</f>
        <v>2099</v>
      </c>
      <c r="J501" s="128" t="n">
        <f aca="false">MAX(0,MIN(F501,I501)-MAX(E501,H501))</f>
        <v>0.25</v>
      </c>
      <c r="K501" s="129" t="n">
        <f aca="false">G501*J501*'Fleet Build'!$K$58/1000000</f>
        <v>0.0616872685612952</v>
      </c>
    </row>
    <row r="502" customFormat="false" ht="15" hidden="false" customHeight="false" outlineLevel="0" collapsed="false">
      <c r="B502" s="125" t="str">
        <f aca="false">'Fleet Build'!B46</f>
        <v>Seven Seas Mariner</v>
      </c>
      <c r="C502" s="125" t="str">
        <f aca="false">'Fleet Build'!C46</f>
        <v>Regent</v>
      </c>
      <c r="D502" s="9" t="s">
        <v>618</v>
      </c>
      <c r="E502" s="111" t="n">
        <f aca="false">E$6</f>
        <v>2025.25</v>
      </c>
      <c r="F502" s="111" t="n">
        <f aca="false">E502+0.25</f>
        <v>2025.5</v>
      </c>
      <c r="G502" s="126" t="n">
        <f aca="false">'Fleet Build'!E46</f>
        <v>692.502231478727</v>
      </c>
      <c r="H502" s="127" t="n">
        <f aca="false">'Fleet Build'!F46</f>
        <v>2000</v>
      </c>
      <c r="I502" s="127" t="n">
        <f aca="false">'Fleet Build'!G46</f>
        <v>2099</v>
      </c>
      <c r="J502" s="128" t="n">
        <f aca="false">MAX(0,MIN(F502,I502)-MAX(E502,H502))</f>
        <v>0.25</v>
      </c>
      <c r="K502" s="129" t="n">
        <f aca="false">G502*J502*'Fleet Build'!$K$58/1000000</f>
        <v>0.0616872685612952</v>
      </c>
    </row>
    <row r="503" customFormat="false" ht="15" hidden="false" customHeight="false" outlineLevel="0" collapsed="false">
      <c r="B503" s="125" t="str">
        <f aca="false">'Fleet Build'!B46</f>
        <v>Seven Seas Mariner</v>
      </c>
      <c r="C503" s="125" t="str">
        <f aca="false">'Fleet Build'!C46</f>
        <v>Regent</v>
      </c>
      <c r="D503" s="9" t="s">
        <v>619</v>
      </c>
      <c r="E503" s="111" t="n">
        <f aca="false">F$6</f>
        <v>2025.5</v>
      </c>
      <c r="F503" s="111" t="n">
        <f aca="false">E503+0.25</f>
        <v>2025.75</v>
      </c>
      <c r="G503" s="126" t="n">
        <f aca="false">'Fleet Build'!E46</f>
        <v>692.502231478727</v>
      </c>
      <c r="H503" s="127" t="n">
        <f aca="false">'Fleet Build'!F46</f>
        <v>2000</v>
      </c>
      <c r="I503" s="127" t="n">
        <f aca="false">'Fleet Build'!G46</f>
        <v>2099</v>
      </c>
      <c r="J503" s="128" t="n">
        <f aca="false">MAX(0,MIN(F503,I503)-MAX(E503,H503))</f>
        <v>0.25</v>
      </c>
      <c r="K503" s="129" t="n">
        <f aca="false">G503*J503*'Fleet Build'!$K$58/1000000</f>
        <v>0.0616872685612952</v>
      </c>
    </row>
    <row r="504" customFormat="false" ht="15" hidden="false" customHeight="false" outlineLevel="0" collapsed="false">
      <c r="B504" s="125" t="str">
        <f aca="false">'Fleet Build'!B46</f>
        <v>Seven Seas Mariner</v>
      </c>
      <c r="C504" s="125" t="str">
        <f aca="false">'Fleet Build'!C46</f>
        <v>Regent</v>
      </c>
      <c r="D504" s="9" t="s">
        <v>620</v>
      </c>
      <c r="E504" s="111" t="n">
        <f aca="false">G$6</f>
        <v>2025.75</v>
      </c>
      <c r="F504" s="111" t="n">
        <f aca="false">E504+0.25</f>
        <v>2026</v>
      </c>
      <c r="G504" s="126" t="n">
        <f aca="false">'Fleet Build'!E46</f>
        <v>692.502231478727</v>
      </c>
      <c r="H504" s="127" t="n">
        <f aca="false">'Fleet Build'!F46</f>
        <v>2000</v>
      </c>
      <c r="I504" s="127" t="n">
        <f aca="false">'Fleet Build'!G46</f>
        <v>2099</v>
      </c>
      <c r="J504" s="128" t="n">
        <f aca="false">MAX(0,MIN(F504,I504)-MAX(E504,H504))</f>
        <v>0.25</v>
      </c>
      <c r="K504" s="129" t="n">
        <f aca="false">G504*J504*'Fleet Build'!$K$58/1000000</f>
        <v>0.0616872685612952</v>
      </c>
    </row>
    <row r="505" customFormat="false" ht="15" hidden="false" customHeight="false" outlineLevel="0" collapsed="false">
      <c r="B505" s="125" t="str">
        <f aca="false">'Fleet Build'!B46</f>
        <v>Seven Seas Mariner</v>
      </c>
      <c r="C505" s="125" t="str">
        <f aca="false">'Fleet Build'!C46</f>
        <v>Regent</v>
      </c>
      <c r="D505" s="9" t="s">
        <v>621</v>
      </c>
      <c r="E505" s="111" t="n">
        <f aca="false">H$6</f>
        <v>2026</v>
      </c>
      <c r="F505" s="111" t="n">
        <f aca="false">E505+0.25</f>
        <v>2026.25</v>
      </c>
      <c r="G505" s="126" t="n">
        <f aca="false">'Fleet Build'!E46</f>
        <v>692.502231478727</v>
      </c>
      <c r="H505" s="127" t="n">
        <f aca="false">'Fleet Build'!F46</f>
        <v>2000</v>
      </c>
      <c r="I505" s="127" t="n">
        <f aca="false">'Fleet Build'!G46</f>
        <v>2099</v>
      </c>
      <c r="J505" s="128" t="n">
        <f aca="false">MAX(0,MIN(F505,I505)-MAX(E505,H505))</f>
        <v>0.25</v>
      </c>
      <c r="K505" s="129" t="n">
        <f aca="false">G505*J505*'Fleet Build'!$K$58/1000000</f>
        <v>0.0616872685612952</v>
      </c>
    </row>
    <row r="506" customFormat="false" ht="15" hidden="false" customHeight="false" outlineLevel="0" collapsed="false">
      <c r="B506" s="125" t="str">
        <f aca="false">'Fleet Build'!B46</f>
        <v>Seven Seas Mariner</v>
      </c>
      <c r="C506" s="125" t="str">
        <f aca="false">'Fleet Build'!C46</f>
        <v>Regent</v>
      </c>
      <c r="D506" s="9" t="s">
        <v>622</v>
      </c>
      <c r="E506" s="111" t="n">
        <f aca="false">I$6</f>
        <v>2026.25</v>
      </c>
      <c r="F506" s="111" t="n">
        <f aca="false">E506+0.25</f>
        <v>2026.5</v>
      </c>
      <c r="G506" s="126" t="n">
        <f aca="false">'Fleet Build'!E46</f>
        <v>692.502231478727</v>
      </c>
      <c r="H506" s="127" t="n">
        <f aca="false">'Fleet Build'!F46</f>
        <v>2000</v>
      </c>
      <c r="I506" s="127" t="n">
        <f aca="false">'Fleet Build'!G46</f>
        <v>2099</v>
      </c>
      <c r="J506" s="128" t="n">
        <f aca="false">MAX(0,MIN(F506,I506)-MAX(E506,H506))</f>
        <v>0.25</v>
      </c>
      <c r="K506" s="129" t="n">
        <f aca="false">G506*J506*'Fleet Build'!$K$58/1000000</f>
        <v>0.0616872685612952</v>
      </c>
    </row>
    <row r="507" customFormat="false" ht="15" hidden="false" customHeight="false" outlineLevel="0" collapsed="false">
      <c r="B507" s="125" t="str">
        <f aca="false">'Fleet Build'!B46</f>
        <v>Seven Seas Mariner</v>
      </c>
      <c r="C507" s="125" t="str">
        <f aca="false">'Fleet Build'!C46</f>
        <v>Regent</v>
      </c>
      <c r="D507" s="9" t="s">
        <v>200</v>
      </c>
      <c r="E507" s="111" t="n">
        <f aca="false">J$6</f>
        <v>2026.5</v>
      </c>
      <c r="F507" s="111" t="n">
        <f aca="false">E507+0.25</f>
        <v>2026.75</v>
      </c>
      <c r="G507" s="126" t="n">
        <f aca="false">'Fleet Build'!E46</f>
        <v>692.502231478727</v>
      </c>
      <c r="H507" s="127" t="n">
        <f aca="false">'Fleet Build'!F46</f>
        <v>2000</v>
      </c>
      <c r="I507" s="127" t="n">
        <f aca="false">'Fleet Build'!G46</f>
        <v>2099</v>
      </c>
      <c r="J507" s="128" t="n">
        <f aca="false">MAX(0,MIN(F507,I507)-MAX(E507,H507))</f>
        <v>0.25</v>
      </c>
      <c r="K507" s="129" t="n">
        <f aca="false">G507*J507*'Fleet Build'!$K$58/1000000</f>
        <v>0.0616872685612952</v>
      </c>
    </row>
    <row r="508" customFormat="false" ht="15" hidden="false" customHeight="false" outlineLevel="0" collapsed="false">
      <c r="B508" s="125" t="str">
        <f aca="false">'Fleet Build'!B46</f>
        <v>Seven Seas Mariner</v>
      </c>
      <c r="C508" s="125" t="str">
        <f aca="false">'Fleet Build'!C46</f>
        <v>Regent</v>
      </c>
      <c r="D508" s="9" t="s">
        <v>201</v>
      </c>
      <c r="E508" s="111" t="n">
        <f aca="false">K$6</f>
        <v>2026.75</v>
      </c>
      <c r="F508" s="111" t="n">
        <f aca="false">E508+0.25</f>
        <v>2027</v>
      </c>
      <c r="G508" s="126" t="n">
        <f aca="false">'Fleet Build'!E46</f>
        <v>692.502231478727</v>
      </c>
      <c r="H508" s="127" t="n">
        <f aca="false">'Fleet Build'!F46</f>
        <v>2000</v>
      </c>
      <c r="I508" s="127" t="n">
        <f aca="false">'Fleet Build'!G46</f>
        <v>2099</v>
      </c>
      <c r="J508" s="128" t="n">
        <f aca="false">MAX(0,MIN(F508,I508)-MAX(E508,H508))</f>
        <v>0.25</v>
      </c>
      <c r="K508" s="129" t="n">
        <f aca="false">G508*J508*'Fleet Build'!$K$58/1000000</f>
        <v>0.0616872685612952</v>
      </c>
    </row>
    <row r="509" customFormat="false" ht="15" hidden="false" customHeight="false" outlineLevel="0" collapsed="false">
      <c r="B509" s="125" t="str">
        <f aca="false">'Fleet Build'!B46</f>
        <v>Seven Seas Mariner</v>
      </c>
      <c r="C509" s="125" t="str">
        <f aca="false">'Fleet Build'!C46</f>
        <v>Regent</v>
      </c>
      <c r="D509" s="9" t="s">
        <v>202</v>
      </c>
      <c r="E509" s="111" t="n">
        <f aca="false">L$6</f>
        <v>2027</v>
      </c>
      <c r="F509" s="111" t="n">
        <f aca="false">E509+0.25</f>
        <v>2027.25</v>
      </c>
      <c r="G509" s="126" t="n">
        <f aca="false">'Fleet Build'!E46</f>
        <v>692.502231478727</v>
      </c>
      <c r="H509" s="127" t="n">
        <f aca="false">'Fleet Build'!F46</f>
        <v>2000</v>
      </c>
      <c r="I509" s="127" t="n">
        <f aca="false">'Fleet Build'!G46</f>
        <v>2099</v>
      </c>
      <c r="J509" s="128" t="n">
        <f aca="false">MAX(0,MIN(F509,I509)-MAX(E509,H509))</f>
        <v>0.25</v>
      </c>
      <c r="K509" s="129" t="n">
        <f aca="false">G509*J509*'Fleet Build'!$K$58/1000000</f>
        <v>0.0616872685612952</v>
      </c>
    </row>
    <row r="510" customFormat="false" ht="15" hidden="false" customHeight="false" outlineLevel="0" collapsed="false">
      <c r="B510" s="125" t="str">
        <f aca="false">'Fleet Build'!B46</f>
        <v>Seven Seas Mariner</v>
      </c>
      <c r="C510" s="125" t="str">
        <f aca="false">'Fleet Build'!C46</f>
        <v>Regent</v>
      </c>
      <c r="D510" s="9" t="s">
        <v>203</v>
      </c>
      <c r="E510" s="111" t="n">
        <f aca="false">M$6</f>
        <v>2027.25</v>
      </c>
      <c r="F510" s="111" t="n">
        <f aca="false">E510+0.25</f>
        <v>2027.5</v>
      </c>
      <c r="G510" s="126" t="n">
        <f aca="false">'Fleet Build'!E46</f>
        <v>692.502231478727</v>
      </c>
      <c r="H510" s="127" t="n">
        <f aca="false">'Fleet Build'!F46</f>
        <v>2000</v>
      </c>
      <c r="I510" s="127" t="n">
        <f aca="false">'Fleet Build'!G46</f>
        <v>2099</v>
      </c>
      <c r="J510" s="128" t="n">
        <f aca="false">MAX(0,MIN(F510,I510)-MAX(E510,H510))</f>
        <v>0.25</v>
      </c>
      <c r="K510" s="129" t="n">
        <f aca="false">G510*J510*'Fleet Build'!$K$58/1000000</f>
        <v>0.0616872685612952</v>
      </c>
    </row>
    <row r="511" customFormat="false" ht="15" hidden="false" customHeight="false" outlineLevel="0" collapsed="false">
      <c r="B511" s="125" t="str">
        <f aca="false">'Fleet Build'!B46</f>
        <v>Seven Seas Mariner</v>
      </c>
      <c r="C511" s="125" t="str">
        <f aca="false">'Fleet Build'!C46</f>
        <v>Regent</v>
      </c>
      <c r="D511" s="9" t="s">
        <v>204</v>
      </c>
      <c r="E511" s="111" t="n">
        <f aca="false">N$6</f>
        <v>2027.5</v>
      </c>
      <c r="F511" s="111" t="n">
        <f aca="false">E511+0.25</f>
        <v>2027.75</v>
      </c>
      <c r="G511" s="126" t="n">
        <f aca="false">'Fleet Build'!E46</f>
        <v>692.502231478727</v>
      </c>
      <c r="H511" s="127" t="n">
        <f aca="false">'Fleet Build'!F46</f>
        <v>2000</v>
      </c>
      <c r="I511" s="127" t="n">
        <f aca="false">'Fleet Build'!G46</f>
        <v>2099</v>
      </c>
      <c r="J511" s="128" t="n">
        <f aca="false">MAX(0,MIN(F511,I511)-MAX(E511,H511))</f>
        <v>0.25</v>
      </c>
      <c r="K511" s="129" t="n">
        <f aca="false">G511*J511*'Fleet Build'!$K$58/1000000</f>
        <v>0.0616872685612952</v>
      </c>
    </row>
    <row r="512" customFormat="false" ht="15" hidden="false" customHeight="false" outlineLevel="0" collapsed="false">
      <c r="B512" s="125" t="str">
        <f aca="false">'Fleet Build'!B46</f>
        <v>Seven Seas Mariner</v>
      </c>
      <c r="C512" s="125" t="str">
        <f aca="false">'Fleet Build'!C46</f>
        <v>Regent</v>
      </c>
      <c r="D512" s="9" t="s">
        <v>205</v>
      </c>
      <c r="E512" s="111" t="n">
        <f aca="false">O$6</f>
        <v>2027.75</v>
      </c>
      <c r="F512" s="111" t="n">
        <f aca="false">E512+0.25</f>
        <v>2028</v>
      </c>
      <c r="G512" s="126" t="n">
        <f aca="false">'Fleet Build'!E46</f>
        <v>692.502231478727</v>
      </c>
      <c r="H512" s="127" t="n">
        <f aca="false">'Fleet Build'!F46</f>
        <v>2000</v>
      </c>
      <c r="I512" s="127" t="n">
        <f aca="false">'Fleet Build'!G46</f>
        <v>2099</v>
      </c>
      <c r="J512" s="128" t="n">
        <f aca="false">MAX(0,MIN(F512,I512)-MAX(E512,H512))</f>
        <v>0.25</v>
      </c>
      <c r="K512" s="129" t="n">
        <f aca="false">G512*J512*'Fleet Build'!$K$58/1000000</f>
        <v>0.0616872685612952</v>
      </c>
    </row>
    <row r="513" customFormat="false" ht="15" hidden="false" customHeight="false" outlineLevel="0" collapsed="false">
      <c r="B513" s="125" t="str">
        <f aca="false">'Fleet Build'!B47</f>
        <v>Seven Seas Navigator</v>
      </c>
      <c r="C513" s="125" t="str">
        <f aca="false">'Fleet Build'!C47</f>
        <v>Regent</v>
      </c>
      <c r="D513" s="9" t="s">
        <v>617</v>
      </c>
      <c r="E513" s="111" t="n">
        <f aca="false">D$6</f>
        <v>2025</v>
      </c>
      <c r="F513" s="111" t="n">
        <f aca="false">E513+0.25</f>
        <v>2025.25</v>
      </c>
      <c r="G513" s="126" t="n">
        <f aca="false">'Fleet Build'!E47</f>
        <v>490</v>
      </c>
      <c r="H513" s="127" t="n">
        <f aca="false">'Fleet Build'!F47</f>
        <v>2000</v>
      </c>
      <c r="I513" s="127" t="n">
        <f aca="false">'Fleet Build'!G47</f>
        <v>2027.83</v>
      </c>
      <c r="J513" s="128" t="n">
        <f aca="false">MAX(0,MIN(F513,I513)-MAX(E513,H513))</f>
        <v>0.25</v>
      </c>
      <c r="K513" s="129" t="n">
        <f aca="false">G513*J513*'Fleet Build'!$K$58/1000000</f>
        <v>0.0436486125546343</v>
      </c>
    </row>
    <row r="514" customFormat="false" ht="15" hidden="false" customHeight="false" outlineLevel="0" collapsed="false">
      <c r="B514" s="125" t="str">
        <f aca="false">'Fleet Build'!B47</f>
        <v>Seven Seas Navigator</v>
      </c>
      <c r="C514" s="125" t="str">
        <f aca="false">'Fleet Build'!C47</f>
        <v>Regent</v>
      </c>
      <c r="D514" s="9" t="s">
        <v>618</v>
      </c>
      <c r="E514" s="111" t="n">
        <f aca="false">E$6</f>
        <v>2025.25</v>
      </c>
      <c r="F514" s="111" t="n">
        <f aca="false">E514+0.25</f>
        <v>2025.5</v>
      </c>
      <c r="G514" s="126" t="n">
        <f aca="false">'Fleet Build'!E47</f>
        <v>490</v>
      </c>
      <c r="H514" s="127" t="n">
        <f aca="false">'Fleet Build'!F47</f>
        <v>2000</v>
      </c>
      <c r="I514" s="127" t="n">
        <f aca="false">'Fleet Build'!G47</f>
        <v>2027.83</v>
      </c>
      <c r="J514" s="128" t="n">
        <f aca="false">MAX(0,MIN(F514,I514)-MAX(E514,H514))</f>
        <v>0.25</v>
      </c>
      <c r="K514" s="129" t="n">
        <f aca="false">G514*J514*'Fleet Build'!$K$58/1000000</f>
        <v>0.0436486125546343</v>
      </c>
    </row>
    <row r="515" customFormat="false" ht="15" hidden="false" customHeight="false" outlineLevel="0" collapsed="false">
      <c r="B515" s="125" t="str">
        <f aca="false">'Fleet Build'!B47</f>
        <v>Seven Seas Navigator</v>
      </c>
      <c r="C515" s="125" t="str">
        <f aca="false">'Fleet Build'!C47</f>
        <v>Regent</v>
      </c>
      <c r="D515" s="9" t="s">
        <v>619</v>
      </c>
      <c r="E515" s="111" t="n">
        <f aca="false">F$6</f>
        <v>2025.5</v>
      </c>
      <c r="F515" s="111" t="n">
        <f aca="false">E515+0.25</f>
        <v>2025.75</v>
      </c>
      <c r="G515" s="126" t="n">
        <f aca="false">'Fleet Build'!E47</f>
        <v>490</v>
      </c>
      <c r="H515" s="127" t="n">
        <f aca="false">'Fleet Build'!F47</f>
        <v>2000</v>
      </c>
      <c r="I515" s="127" t="n">
        <f aca="false">'Fleet Build'!G47</f>
        <v>2027.83</v>
      </c>
      <c r="J515" s="128" t="n">
        <f aca="false">MAX(0,MIN(F515,I515)-MAX(E515,H515))</f>
        <v>0.25</v>
      </c>
      <c r="K515" s="129" t="n">
        <f aca="false">G515*J515*'Fleet Build'!$K$58/1000000</f>
        <v>0.0436486125546343</v>
      </c>
    </row>
    <row r="516" customFormat="false" ht="15" hidden="false" customHeight="false" outlineLevel="0" collapsed="false">
      <c r="B516" s="125" t="str">
        <f aca="false">'Fleet Build'!B47</f>
        <v>Seven Seas Navigator</v>
      </c>
      <c r="C516" s="125" t="str">
        <f aca="false">'Fleet Build'!C47</f>
        <v>Regent</v>
      </c>
      <c r="D516" s="9" t="s">
        <v>620</v>
      </c>
      <c r="E516" s="111" t="n">
        <f aca="false">G$6</f>
        <v>2025.75</v>
      </c>
      <c r="F516" s="111" t="n">
        <f aca="false">E516+0.25</f>
        <v>2026</v>
      </c>
      <c r="G516" s="126" t="n">
        <f aca="false">'Fleet Build'!E47</f>
        <v>490</v>
      </c>
      <c r="H516" s="127" t="n">
        <f aca="false">'Fleet Build'!F47</f>
        <v>2000</v>
      </c>
      <c r="I516" s="127" t="n">
        <f aca="false">'Fleet Build'!G47</f>
        <v>2027.83</v>
      </c>
      <c r="J516" s="128" t="n">
        <f aca="false">MAX(0,MIN(F516,I516)-MAX(E516,H516))</f>
        <v>0.25</v>
      </c>
      <c r="K516" s="129" t="n">
        <f aca="false">G516*J516*'Fleet Build'!$K$58/1000000</f>
        <v>0.0436486125546343</v>
      </c>
    </row>
    <row r="517" customFormat="false" ht="15" hidden="false" customHeight="false" outlineLevel="0" collapsed="false">
      <c r="B517" s="125" t="str">
        <f aca="false">'Fleet Build'!B47</f>
        <v>Seven Seas Navigator</v>
      </c>
      <c r="C517" s="125" t="str">
        <f aca="false">'Fleet Build'!C47</f>
        <v>Regent</v>
      </c>
      <c r="D517" s="9" t="s">
        <v>621</v>
      </c>
      <c r="E517" s="111" t="n">
        <f aca="false">H$6</f>
        <v>2026</v>
      </c>
      <c r="F517" s="111" t="n">
        <f aca="false">E517+0.25</f>
        <v>2026.25</v>
      </c>
      <c r="G517" s="126" t="n">
        <f aca="false">'Fleet Build'!E47</f>
        <v>490</v>
      </c>
      <c r="H517" s="127" t="n">
        <f aca="false">'Fleet Build'!F47</f>
        <v>2000</v>
      </c>
      <c r="I517" s="127" t="n">
        <f aca="false">'Fleet Build'!G47</f>
        <v>2027.83</v>
      </c>
      <c r="J517" s="128" t="n">
        <f aca="false">MAX(0,MIN(F517,I517)-MAX(E517,H517))</f>
        <v>0.25</v>
      </c>
      <c r="K517" s="129" t="n">
        <f aca="false">G517*J517*'Fleet Build'!$K$58/1000000</f>
        <v>0.0436486125546343</v>
      </c>
    </row>
    <row r="518" customFormat="false" ht="15" hidden="false" customHeight="false" outlineLevel="0" collapsed="false">
      <c r="B518" s="125" t="str">
        <f aca="false">'Fleet Build'!B47</f>
        <v>Seven Seas Navigator</v>
      </c>
      <c r="C518" s="125" t="str">
        <f aca="false">'Fleet Build'!C47</f>
        <v>Regent</v>
      </c>
      <c r="D518" s="9" t="s">
        <v>622</v>
      </c>
      <c r="E518" s="111" t="n">
        <f aca="false">I$6</f>
        <v>2026.25</v>
      </c>
      <c r="F518" s="111" t="n">
        <f aca="false">E518+0.25</f>
        <v>2026.5</v>
      </c>
      <c r="G518" s="126" t="n">
        <f aca="false">'Fleet Build'!E47</f>
        <v>490</v>
      </c>
      <c r="H518" s="127" t="n">
        <f aca="false">'Fleet Build'!F47</f>
        <v>2000</v>
      </c>
      <c r="I518" s="127" t="n">
        <f aca="false">'Fleet Build'!G47</f>
        <v>2027.83</v>
      </c>
      <c r="J518" s="128" t="n">
        <f aca="false">MAX(0,MIN(F518,I518)-MAX(E518,H518))</f>
        <v>0.25</v>
      </c>
      <c r="K518" s="129" t="n">
        <f aca="false">G518*J518*'Fleet Build'!$K$58/1000000</f>
        <v>0.0436486125546343</v>
      </c>
    </row>
    <row r="519" customFormat="false" ht="15" hidden="false" customHeight="false" outlineLevel="0" collapsed="false">
      <c r="B519" s="125" t="str">
        <f aca="false">'Fleet Build'!B47</f>
        <v>Seven Seas Navigator</v>
      </c>
      <c r="C519" s="125" t="str">
        <f aca="false">'Fleet Build'!C47</f>
        <v>Regent</v>
      </c>
      <c r="D519" s="9" t="s">
        <v>200</v>
      </c>
      <c r="E519" s="111" t="n">
        <f aca="false">J$6</f>
        <v>2026.5</v>
      </c>
      <c r="F519" s="111" t="n">
        <f aca="false">E519+0.25</f>
        <v>2026.75</v>
      </c>
      <c r="G519" s="126" t="n">
        <f aca="false">'Fleet Build'!E47</f>
        <v>490</v>
      </c>
      <c r="H519" s="127" t="n">
        <f aca="false">'Fleet Build'!F47</f>
        <v>2000</v>
      </c>
      <c r="I519" s="127" t="n">
        <f aca="false">'Fleet Build'!G47</f>
        <v>2027.83</v>
      </c>
      <c r="J519" s="128" t="n">
        <f aca="false">MAX(0,MIN(F519,I519)-MAX(E519,H519))</f>
        <v>0.25</v>
      </c>
      <c r="K519" s="129" t="n">
        <f aca="false">G519*J519*'Fleet Build'!$K$58/1000000</f>
        <v>0.0436486125546343</v>
      </c>
    </row>
    <row r="520" customFormat="false" ht="15" hidden="false" customHeight="false" outlineLevel="0" collapsed="false">
      <c r="B520" s="125" t="str">
        <f aca="false">'Fleet Build'!B47</f>
        <v>Seven Seas Navigator</v>
      </c>
      <c r="C520" s="125" t="str">
        <f aca="false">'Fleet Build'!C47</f>
        <v>Regent</v>
      </c>
      <c r="D520" s="9" t="s">
        <v>201</v>
      </c>
      <c r="E520" s="111" t="n">
        <f aca="false">K$6</f>
        <v>2026.75</v>
      </c>
      <c r="F520" s="111" t="n">
        <f aca="false">E520+0.25</f>
        <v>2027</v>
      </c>
      <c r="G520" s="126" t="n">
        <f aca="false">'Fleet Build'!E47</f>
        <v>490</v>
      </c>
      <c r="H520" s="127" t="n">
        <f aca="false">'Fleet Build'!F47</f>
        <v>2000</v>
      </c>
      <c r="I520" s="127" t="n">
        <f aca="false">'Fleet Build'!G47</f>
        <v>2027.83</v>
      </c>
      <c r="J520" s="128" t="n">
        <f aca="false">MAX(0,MIN(F520,I520)-MAX(E520,H520))</f>
        <v>0.25</v>
      </c>
      <c r="K520" s="129" t="n">
        <f aca="false">G520*J520*'Fleet Build'!$K$58/1000000</f>
        <v>0.0436486125546343</v>
      </c>
    </row>
    <row r="521" customFormat="false" ht="15" hidden="false" customHeight="false" outlineLevel="0" collapsed="false">
      <c r="B521" s="125" t="str">
        <f aca="false">'Fleet Build'!B47</f>
        <v>Seven Seas Navigator</v>
      </c>
      <c r="C521" s="125" t="str">
        <f aca="false">'Fleet Build'!C47</f>
        <v>Regent</v>
      </c>
      <c r="D521" s="9" t="s">
        <v>202</v>
      </c>
      <c r="E521" s="111" t="n">
        <f aca="false">L$6</f>
        <v>2027</v>
      </c>
      <c r="F521" s="111" t="n">
        <f aca="false">E521+0.25</f>
        <v>2027.25</v>
      </c>
      <c r="G521" s="126" t="n">
        <f aca="false">'Fleet Build'!E47</f>
        <v>490</v>
      </c>
      <c r="H521" s="127" t="n">
        <f aca="false">'Fleet Build'!F47</f>
        <v>2000</v>
      </c>
      <c r="I521" s="127" t="n">
        <f aca="false">'Fleet Build'!G47</f>
        <v>2027.83</v>
      </c>
      <c r="J521" s="128" t="n">
        <f aca="false">MAX(0,MIN(F521,I521)-MAX(E521,H521))</f>
        <v>0.25</v>
      </c>
      <c r="K521" s="129" t="n">
        <f aca="false">G521*J521*'Fleet Build'!$K$58/1000000</f>
        <v>0.0436486125546343</v>
      </c>
    </row>
    <row r="522" customFormat="false" ht="15" hidden="false" customHeight="false" outlineLevel="0" collapsed="false">
      <c r="B522" s="125" t="str">
        <f aca="false">'Fleet Build'!B47</f>
        <v>Seven Seas Navigator</v>
      </c>
      <c r="C522" s="125" t="str">
        <f aca="false">'Fleet Build'!C47</f>
        <v>Regent</v>
      </c>
      <c r="D522" s="9" t="s">
        <v>203</v>
      </c>
      <c r="E522" s="111" t="n">
        <f aca="false">M$6</f>
        <v>2027.25</v>
      </c>
      <c r="F522" s="111" t="n">
        <f aca="false">E522+0.25</f>
        <v>2027.5</v>
      </c>
      <c r="G522" s="126" t="n">
        <f aca="false">'Fleet Build'!E47</f>
        <v>490</v>
      </c>
      <c r="H522" s="127" t="n">
        <f aca="false">'Fleet Build'!F47</f>
        <v>2000</v>
      </c>
      <c r="I522" s="127" t="n">
        <f aca="false">'Fleet Build'!G47</f>
        <v>2027.83</v>
      </c>
      <c r="J522" s="128" t="n">
        <f aca="false">MAX(0,MIN(F522,I522)-MAX(E522,H522))</f>
        <v>0.25</v>
      </c>
      <c r="K522" s="129" t="n">
        <f aca="false">G522*J522*'Fleet Build'!$K$58/1000000</f>
        <v>0.0436486125546343</v>
      </c>
    </row>
    <row r="523" customFormat="false" ht="15" hidden="false" customHeight="false" outlineLevel="0" collapsed="false">
      <c r="B523" s="125" t="str">
        <f aca="false">'Fleet Build'!B47</f>
        <v>Seven Seas Navigator</v>
      </c>
      <c r="C523" s="125" t="str">
        <f aca="false">'Fleet Build'!C47</f>
        <v>Regent</v>
      </c>
      <c r="D523" s="9" t="s">
        <v>204</v>
      </c>
      <c r="E523" s="111" t="n">
        <f aca="false">N$6</f>
        <v>2027.5</v>
      </c>
      <c r="F523" s="111" t="n">
        <f aca="false">E523+0.25</f>
        <v>2027.75</v>
      </c>
      <c r="G523" s="126" t="n">
        <f aca="false">'Fleet Build'!E47</f>
        <v>490</v>
      </c>
      <c r="H523" s="127" t="n">
        <f aca="false">'Fleet Build'!F47</f>
        <v>2000</v>
      </c>
      <c r="I523" s="127" t="n">
        <f aca="false">'Fleet Build'!G47</f>
        <v>2027.83</v>
      </c>
      <c r="J523" s="128" t="n">
        <f aca="false">MAX(0,MIN(F523,I523)-MAX(E523,H523))</f>
        <v>0.25</v>
      </c>
      <c r="K523" s="129" t="n">
        <f aca="false">G523*J523*'Fleet Build'!$K$58/1000000</f>
        <v>0.0436486125546343</v>
      </c>
    </row>
    <row r="524" customFormat="false" ht="15" hidden="false" customHeight="false" outlineLevel="0" collapsed="false">
      <c r="B524" s="125" t="str">
        <f aca="false">'Fleet Build'!B47</f>
        <v>Seven Seas Navigator</v>
      </c>
      <c r="C524" s="125" t="str">
        <f aca="false">'Fleet Build'!C47</f>
        <v>Regent</v>
      </c>
      <c r="D524" s="9" t="s">
        <v>205</v>
      </c>
      <c r="E524" s="111" t="n">
        <f aca="false">O$6</f>
        <v>2027.75</v>
      </c>
      <c r="F524" s="111" t="n">
        <f aca="false">E524+0.25</f>
        <v>2028</v>
      </c>
      <c r="G524" s="126" t="n">
        <f aca="false">'Fleet Build'!E47</f>
        <v>490</v>
      </c>
      <c r="H524" s="127" t="n">
        <f aca="false">'Fleet Build'!F47</f>
        <v>2000</v>
      </c>
      <c r="I524" s="127" t="n">
        <f aca="false">'Fleet Build'!G47</f>
        <v>2027.83</v>
      </c>
      <c r="J524" s="128" t="n">
        <f aca="false">MAX(0,MIN(F524,I524)-MAX(E524,H524))</f>
        <v>0.0799999999999272</v>
      </c>
      <c r="K524" s="129" t="n">
        <f aca="false">G524*J524*'Fleet Build'!$K$58/1000000</f>
        <v>0.0139675560174703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9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</cols>
  <sheetData>
    <row r="2" customFormat="false" ht="15" hidden="false" customHeight="false" outlineLevel="0" collapsed="false">
      <c r="B2" s="20" t="s">
        <v>635</v>
      </c>
      <c r="C2" s="20"/>
      <c r="D2" s="20"/>
      <c r="E2" s="20"/>
      <c r="F2" s="20"/>
      <c r="G2" s="20"/>
      <c r="H2" s="20"/>
      <c r="I2" s="20"/>
    </row>
    <row r="4" customFormat="false" ht="15" hidden="false" customHeight="false" outlineLevel="0" collapsed="false">
      <c r="B4" s="4" t="s">
        <v>636</v>
      </c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B5" s="19"/>
      <c r="C5" s="130" t="s">
        <v>240</v>
      </c>
      <c r="D5" s="130" t="s">
        <v>227</v>
      </c>
      <c r="E5" s="130" t="s">
        <v>241</v>
      </c>
      <c r="F5" s="130" t="s">
        <v>637</v>
      </c>
      <c r="G5" s="130" t="s">
        <v>638</v>
      </c>
      <c r="H5" s="130" t="s">
        <v>639</v>
      </c>
    </row>
    <row r="6" customFormat="false" ht="15" hidden="false" customHeight="false" outlineLevel="0" collapsed="false">
      <c r="B6" s="9" t="s">
        <v>640</v>
      </c>
      <c r="C6" s="131" t="n">
        <v>10030</v>
      </c>
      <c r="D6" s="131" t="n">
        <v>10570</v>
      </c>
      <c r="F6" s="123" t="n">
        <v>23</v>
      </c>
      <c r="G6" s="131" t="n">
        <v>10260</v>
      </c>
      <c r="H6" s="131" t="n">
        <v>11490</v>
      </c>
    </row>
    <row r="7" customFormat="false" ht="15" hidden="false" customHeight="false" outlineLevel="0" collapsed="false">
      <c r="B7" s="9" t="s">
        <v>641</v>
      </c>
      <c r="C7" s="132" t="n">
        <v>1.54</v>
      </c>
      <c r="D7" s="132" t="n">
        <v>1.67</v>
      </c>
      <c r="E7" s="132" t="n">
        <v>1.75</v>
      </c>
      <c r="F7" s="123" t="n">
        <v>26</v>
      </c>
      <c r="G7" s="132" t="n">
        <v>1.22</v>
      </c>
      <c r="H7" s="132" t="n">
        <v>1.95</v>
      </c>
    </row>
    <row r="8" customFormat="false" ht="15" hidden="false" customHeight="false" outlineLevel="0" collapsed="false">
      <c r="B8" s="9" t="s">
        <v>642</v>
      </c>
      <c r="C8" s="132" t="n">
        <v>1.36</v>
      </c>
      <c r="D8" s="132" t="n">
        <v>1.46</v>
      </c>
      <c r="E8" s="132" t="n">
        <v>1.75</v>
      </c>
      <c r="F8" s="123" t="n">
        <v>7</v>
      </c>
      <c r="G8" s="132" t="n">
        <v>0.91</v>
      </c>
      <c r="H8" s="132" t="n">
        <v>1.99</v>
      </c>
    </row>
    <row r="10" customFormat="false" ht="15" hidden="false" customHeight="false" outlineLevel="0" collapsed="false">
      <c r="B10" s="4" t="s">
        <v>643</v>
      </c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C11" s="130" t="s">
        <v>200</v>
      </c>
      <c r="D11" s="130" t="s">
        <v>201</v>
      </c>
      <c r="E11" s="130" t="s">
        <v>202</v>
      </c>
      <c r="F11" s="130" t="s">
        <v>203</v>
      </c>
      <c r="G11" s="130" t="s">
        <v>204</v>
      </c>
      <c r="H11" s="130" t="s">
        <v>644</v>
      </c>
    </row>
    <row r="12" customFormat="false" ht="15" hidden="false" customHeight="false" outlineLevel="0" collapsed="false">
      <c r="B12" s="9" t="s">
        <v>297</v>
      </c>
      <c r="C12" s="133" t="n">
        <v>0.83</v>
      </c>
      <c r="D12" s="133" t="n">
        <v>-0.1</v>
      </c>
      <c r="E12" s="133" t="n">
        <v>-0.04</v>
      </c>
      <c r="F12" s="133" t="n">
        <v>0.37</v>
      </c>
      <c r="G12" s="133" t="n">
        <v>0.97</v>
      </c>
      <c r="H12" s="134" t="n">
        <f aca="false">D8-SUM(E12:G12)</f>
        <v>0.16</v>
      </c>
    </row>
    <row r="14" customFormat="false" ht="15" hidden="false" customHeight="false" outlineLevel="0" collapsed="false">
      <c r="B14" s="4" t="s">
        <v>645</v>
      </c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C15" s="130" t="s">
        <v>646</v>
      </c>
      <c r="D15" s="130" t="s">
        <v>647</v>
      </c>
      <c r="E15" s="130" t="s">
        <v>648</v>
      </c>
      <c r="F15" s="130" t="s">
        <v>649</v>
      </c>
      <c r="G15" s="130" t="s">
        <v>650</v>
      </c>
    </row>
    <row r="16" customFormat="false" ht="15" hidden="false" customHeight="false" outlineLevel="0" collapsed="false">
      <c r="B16" s="9" t="s">
        <v>651</v>
      </c>
      <c r="C16" s="133" t="n">
        <v>2.04</v>
      </c>
      <c r="D16" s="133" t="n">
        <v>1.79</v>
      </c>
      <c r="E16" s="133" t="n">
        <v>1.7</v>
      </c>
      <c r="F16" s="133" t="n">
        <v>1.69</v>
      </c>
      <c r="G16" s="133" t="n">
        <v>1.67</v>
      </c>
    </row>
    <row r="17" customFormat="false" ht="15" hidden="false" customHeight="false" outlineLevel="0" collapsed="false">
      <c r="B17" s="9" t="s">
        <v>652</v>
      </c>
      <c r="F17" s="134" t="n">
        <f aca="false">G16-F16</f>
        <v>-0.02</v>
      </c>
    </row>
    <row r="19" customFormat="false" ht="15" hidden="false" customHeight="false" outlineLevel="0" collapsed="false">
      <c r="B19" s="4" t="s">
        <v>653</v>
      </c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B20" s="19" t="s">
        <v>654</v>
      </c>
      <c r="C20" s="130" t="s">
        <v>655</v>
      </c>
      <c r="D20" s="130" t="s">
        <v>656</v>
      </c>
      <c r="E20" s="130" t="s">
        <v>657</v>
      </c>
      <c r="F20" s="130" t="s">
        <v>658</v>
      </c>
    </row>
    <row r="21" customFormat="false" ht="15" hidden="false" customHeight="false" outlineLevel="0" collapsed="false">
      <c r="B21" s="9" t="s">
        <v>659</v>
      </c>
      <c r="C21" s="116" t="n">
        <v>11</v>
      </c>
      <c r="D21" s="116" t="n">
        <v>4</v>
      </c>
      <c r="E21" s="116" t="n">
        <v>0</v>
      </c>
      <c r="F21" s="133" t="n">
        <v>24.84</v>
      </c>
    </row>
    <row r="22" customFormat="false" ht="15" hidden="false" customHeight="false" outlineLevel="0" collapsed="false">
      <c r="B22" s="9" t="s">
        <v>660</v>
      </c>
      <c r="C22" s="116" t="n">
        <v>9</v>
      </c>
      <c r="D22" s="116" t="n">
        <v>4</v>
      </c>
      <c r="E22" s="116" t="n">
        <v>0</v>
      </c>
      <c r="F22" s="133" t="n">
        <v>18.57</v>
      </c>
    </row>
    <row r="23" customFormat="false" ht="15" hidden="false" customHeight="false" outlineLevel="0" collapsed="false">
      <c r="B23" s="9" t="s">
        <v>661</v>
      </c>
      <c r="C23" s="116" t="n">
        <v>6</v>
      </c>
      <c r="D23" s="116" t="n">
        <v>8</v>
      </c>
      <c r="E23" s="116" t="n">
        <v>0</v>
      </c>
      <c r="F23" s="133" t="n">
        <v>24.79</v>
      </c>
    </row>
    <row r="24" customFormat="false" ht="15" hidden="false" customHeight="false" outlineLevel="0" collapsed="false">
      <c r="B24" s="9" t="s">
        <v>662</v>
      </c>
      <c r="C24" s="116" t="n">
        <v>9</v>
      </c>
      <c r="D24" s="116" t="n">
        <v>11</v>
      </c>
      <c r="E24" s="116" t="n">
        <v>0</v>
      </c>
      <c r="F24" s="133" t="n">
        <v>18.06</v>
      </c>
    </row>
    <row r="25" customFormat="false" ht="15" hidden="false" customHeight="false" outlineLevel="0" collapsed="false">
      <c r="B25" s="9" t="s">
        <v>663</v>
      </c>
      <c r="C25" s="116" t="n">
        <v>6</v>
      </c>
      <c r="D25" s="116" t="n">
        <v>13</v>
      </c>
      <c r="E25" s="116" t="n">
        <v>0</v>
      </c>
      <c r="F25" s="133" t="n">
        <v>18.53</v>
      </c>
    </row>
    <row r="26" customFormat="false" ht="15" hidden="false" customHeight="false" outlineLevel="0" collapsed="false">
      <c r="B26" s="9" t="s">
        <v>664</v>
      </c>
      <c r="C26" s="116" t="n">
        <v>4</v>
      </c>
      <c r="D26" s="116" t="n">
        <v>15</v>
      </c>
      <c r="E26" s="116" t="n">
        <v>0</v>
      </c>
      <c r="F26" s="133" t="n">
        <v>15.43</v>
      </c>
    </row>
    <row r="27" customFormat="false" ht="15" hidden="false" customHeight="false" outlineLevel="0" collapsed="false">
      <c r="B27" s="9" t="s">
        <v>665</v>
      </c>
      <c r="C27" s="116" t="n">
        <v>4</v>
      </c>
      <c r="D27" s="116" t="n">
        <v>15</v>
      </c>
      <c r="E27" s="116" t="n">
        <v>0</v>
      </c>
      <c r="F27" s="133" t="n">
        <v>18.8</v>
      </c>
    </row>
    <row r="28" customFormat="false" ht="15" hidden="false" customHeight="false" outlineLevel="0" collapsed="false">
      <c r="B28" s="9" t="s">
        <v>666</v>
      </c>
      <c r="C28" s="133" t="n">
        <v>13</v>
      </c>
      <c r="D28" s="133" t="n">
        <v>25</v>
      </c>
    </row>
    <row r="30" customFormat="false" ht="15" hidden="false" customHeight="false" outlineLevel="0" collapsed="false">
      <c r="B30" s="4" t="s">
        <v>667</v>
      </c>
      <c r="C30" s="5"/>
      <c r="D30" s="5"/>
      <c r="E30" s="5"/>
      <c r="F30" s="5"/>
      <c r="G30" s="5"/>
      <c r="H30" s="5"/>
      <c r="I30" s="5"/>
    </row>
    <row r="31" customFormat="false" ht="15" hidden="false" customHeight="false" outlineLevel="0" collapsed="false">
      <c r="B31" s="9" t="s">
        <v>668</v>
      </c>
      <c r="C31" s="107" t="n">
        <v>-0.05</v>
      </c>
    </row>
    <row r="32" customFormat="false" ht="15" hidden="false" customHeight="false" outlineLevel="0" collapsed="false">
      <c r="B32" s="9" t="s">
        <v>669</v>
      </c>
      <c r="C32" s="131" t="n">
        <v>2500</v>
      </c>
    </row>
    <row r="33" customFormat="false" ht="15" hidden="false" customHeight="false" outlineLevel="0" collapsed="false">
      <c r="B33" s="9" t="s">
        <v>670</v>
      </c>
      <c r="C33" s="132" t="n">
        <v>1.5</v>
      </c>
    </row>
    <row r="34" customFormat="false" ht="15" hidden="false" customHeight="false" outlineLevel="0" collapsed="false">
      <c r="B34" s="9" t="s">
        <v>671</v>
      </c>
      <c r="C34" s="135" t="n">
        <v>26.25</v>
      </c>
    </row>
    <row r="35" customFormat="false" ht="15" hidden="false" customHeight="false" outlineLevel="0" collapsed="false">
      <c r="B35" s="9" t="s">
        <v>672</v>
      </c>
      <c r="C35" s="107" t="n">
        <v>1.023</v>
      </c>
    </row>
    <row r="36" customFormat="false" ht="15" hidden="false" customHeight="false" outlineLevel="0" collapsed="false">
      <c r="B36" s="9" t="s">
        <v>673</v>
      </c>
      <c r="C36" s="131" t="n">
        <v>1085</v>
      </c>
    </row>
    <row r="37" customFormat="false" ht="15" hidden="false" customHeight="false" outlineLevel="0" collapsed="false">
      <c r="B37" s="9" t="s">
        <v>674</v>
      </c>
      <c r="C37" s="131" t="n">
        <v>705</v>
      </c>
    </row>
    <row r="38" customFormat="false" ht="15" hidden="false" customHeight="false" outlineLevel="0" collapsed="false">
      <c r="B38" s="9" t="s">
        <v>675</v>
      </c>
      <c r="C38" s="131" t="n">
        <v>464</v>
      </c>
    </row>
    <row r="39" customFormat="false" ht="15" hidden="false" customHeight="false" outlineLevel="0" collapsed="false">
      <c r="B39" s="9" t="s">
        <v>676</v>
      </c>
      <c r="C39" s="131" t="n">
        <v>1010</v>
      </c>
    </row>
    <row r="40" customFormat="false" ht="15" hidden="false" customHeight="false" outlineLevel="0" collapsed="false">
      <c r="B40" s="9" t="s">
        <v>677</v>
      </c>
      <c r="C40" s="131" t="n">
        <v>780</v>
      </c>
    </row>
    <row r="41" customFormat="false" ht="15" hidden="false" customHeight="false" outlineLevel="0" collapsed="false">
      <c r="B41" s="9" t="s">
        <v>678</v>
      </c>
      <c r="C41" s="107" t="n">
        <v>-0.089</v>
      </c>
    </row>
    <row r="42" customFormat="false" ht="15" hidden="false" customHeight="false" outlineLevel="0" collapsed="false">
      <c r="B42" s="9" t="s">
        <v>679</v>
      </c>
      <c r="C42" s="107" t="n">
        <v>-0.065</v>
      </c>
    </row>
    <row r="43" customFormat="false" ht="15" hidden="false" customHeight="false" outlineLevel="0" collapsed="false">
      <c r="B43" s="9" t="s">
        <v>680</v>
      </c>
      <c r="C43" s="131" t="n">
        <v>870</v>
      </c>
    </row>
    <row r="44" customFormat="false" ht="15" hidden="false" customHeight="false" outlineLevel="0" collapsed="false">
      <c r="B44" s="9" t="s">
        <v>681</v>
      </c>
      <c r="C44" s="131" t="n">
        <v>2950</v>
      </c>
    </row>
    <row r="45" customFormat="false" ht="15" hidden="false" customHeight="false" outlineLevel="0" collapsed="false">
      <c r="B45" s="9" t="s">
        <v>682</v>
      </c>
      <c r="C45" s="131" t="n">
        <v>874</v>
      </c>
    </row>
    <row r="46" customFormat="false" ht="15" hidden="false" customHeight="false" outlineLevel="0" collapsed="false">
      <c r="B46" s="9" t="s">
        <v>683</v>
      </c>
      <c r="C46" s="132" t="n">
        <v>0.9</v>
      </c>
    </row>
    <row r="47" customFormat="false" ht="15" hidden="false" customHeight="false" outlineLevel="0" collapsed="false">
      <c r="B47" s="9" t="s">
        <v>684</v>
      </c>
      <c r="C47" s="107" t="n">
        <v>-0.009</v>
      </c>
    </row>
    <row r="49" customFormat="false" ht="15" hidden="false" customHeight="false" outlineLevel="0" collapsed="false">
      <c r="B49" s="4" t="s">
        <v>685</v>
      </c>
      <c r="C49" s="5"/>
      <c r="D49" s="5"/>
      <c r="E49" s="5"/>
      <c r="F49" s="5"/>
      <c r="G49" s="5"/>
      <c r="H49" s="5"/>
      <c r="I49" s="5"/>
    </row>
    <row r="50" customFormat="false" ht="15" hidden="false" customHeight="false" outlineLevel="0" collapsed="false">
      <c r="B50" s="19"/>
      <c r="C50" s="130" t="s">
        <v>686</v>
      </c>
      <c r="D50" s="130" t="s">
        <v>687</v>
      </c>
    </row>
    <row r="51" customFormat="false" ht="15" hidden="false" customHeight="false" outlineLevel="0" collapsed="false">
      <c r="B51" s="9" t="s">
        <v>688</v>
      </c>
      <c r="C51" s="134" t="n">
        <f aca="false">D7</f>
        <v>1.67</v>
      </c>
      <c r="D51" s="134" t="n">
        <f aca="false">D8</f>
        <v>1.46</v>
      </c>
    </row>
    <row r="52" customFormat="false" ht="15" hidden="false" customHeight="false" outlineLevel="0" collapsed="false">
      <c r="B52" s="9" t="s">
        <v>162</v>
      </c>
      <c r="C52" s="136" t="n">
        <v>466</v>
      </c>
      <c r="D52" s="136" t="n">
        <v>466</v>
      </c>
    </row>
    <row r="53" customFormat="false" ht="15" hidden="false" customHeight="false" outlineLevel="0" collapsed="false">
      <c r="B53" s="9" t="s">
        <v>689</v>
      </c>
      <c r="C53" s="137" t="n">
        <f aca="false">C51*C52</f>
        <v>778.22</v>
      </c>
      <c r="D53" s="137" t="n">
        <f aca="false">D51*D52</f>
        <v>680.36</v>
      </c>
    </row>
    <row r="54" customFormat="false" ht="15" hidden="false" customHeight="false" outlineLevel="0" collapsed="false">
      <c r="B54" s="9" t="s">
        <v>690</v>
      </c>
      <c r="C54" s="138" t="n">
        <v>1150</v>
      </c>
      <c r="D54" s="138" t="n">
        <v>1150</v>
      </c>
    </row>
    <row r="55" customFormat="false" ht="15" hidden="false" customHeight="false" outlineLevel="0" collapsed="false">
      <c r="B55" s="9" t="s">
        <v>691</v>
      </c>
      <c r="C55" s="138" t="n">
        <v>750</v>
      </c>
      <c r="D55" s="137" t="n">
        <f aca="false">C43</f>
        <v>870</v>
      </c>
    </row>
    <row r="56" customFormat="false" ht="15" hidden="false" customHeight="false" outlineLevel="0" collapsed="false">
      <c r="B56" s="9" t="s">
        <v>692</v>
      </c>
      <c r="C56" s="138" t="n">
        <v>15</v>
      </c>
      <c r="D56" s="138" t="n">
        <v>15</v>
      </c>
    </row>
    <row r="57" customFormat="false" ht="15" hidden="false" customHeight="false" outlineLevel="0" collapsed="false">
      <c r="B57" s="19" t="s">
        <v>693</v>
      </c>
      <c r="C57" s="77" t="n">
        <f aca="false">C53+C54+C55+C56</f>
        <v>2693.22</v>
      </c>
      <c r="D57" s="77" t="n">
        <f aca="false">D53+D54+D55+D56</f>
        <v>2715.36</v>
      </c>
    </row>
    <row r="58" customFormat="false" ht="15" hidden="false" customHeight="false" outlineLevel="0" collapsed="false">
      <c r="B58" s="19" t="s">
        <v>694</v>
      </c>
      <c r="C58" s="80" t="n">
        <f aca="false">C51-(C43-C55)/C52</f>
        <v>1.41248927038627</v>
      </c>
    </row>
    <row r="60" customFormat="false" ht="15" hidden="false" customHeight="false" outlineLevel="0" collapsed="false">
      <c r="B60" s="4" t="s">
        <v>695</v>
      </c>
      <c r="C60" s="5"/>
      <c r="D60" s="5"/>
      <c r="E60" s="5"/>
      <c r="F60" s="5"/>
      <c r="G60" s="5"/>
      <c r="H60" s="5"/>
      <c r="I60" s="5"/>
    </row>
    <row r="61" customFormat="false" ht="15" hidden="false" customHeight="false" outlineLevel="0" collapsed="false">
      <c r="B61" s="9" t="s">
        <v>658</v>
      </c>
      <c r="C61" s="79" t="n">
        <f aca="false">F27</f>
        <v>18.8</v>
      </c>
    </row>
    <row r="62" customFormat="false" ht="15" hidden="false" customHeight="false" outlineLevel="0" collapsed="false">
      <c r="B62" s="9" t="s">
        <v>162</v>
      </c>
      <c r="C62" s="136" t="n">
        <v>466</v>
      </c>
    </row>
    <row r="63" customFormat="false" ht="15" hidden="false" customHeight="false" outlineLevel="0" collapsed="false">
      <c r="B63" s="9" t="s">
        <v>696</v>
      </c>
      <c r="C63" s="137" t="n">
        <f aca="false">C61*C62</f>
        <v>8760.8</v>
      </c>
    </row>
    <row r="64" customFormat="false" ht="15" hidden="false" customHeight="false" outlineLevel="0" collapsed="false">
      <c r="B64" s="9" t="s">
        <v>697</v>
      </c>
      <c r="C64" s="76" t="n">
        <f aca="false">DCF!F22</f>
        <v>15800</v>
      </c>
    </row>
    <row r="65" customFormat="false" ht="15" hidden="false" customHeight="false" outlineLevel="0" collapsed="false">
      <c r="B65" s="9" t="s">
        <v>698</v>
      </c>
      <c r="C65" s="137" t="n">
        <f aca="false">C63+C64</f>
        <v>24560.8</v>
      </c>
    </row>
    <row r="66" customFormat="false" ht="15" hidden="false" customHeight="false" outlineLevel="0" collapsed="false">
      <c r="B66" s="9" t="s">
        <v>699</v>
      </c>
      <c r="C66" s="139" t="n">
        <f aca="false">DCF!F25</f>
        <v>8.43258608654325</v>
      </c>
    </row>
    <row r="67" customFormat="false" ht="15" hidden="false" customHeight="false" outlineLevel="0" collapsed="false">
      <c r="B67" s="19" t="s">
        <v>700</v>
      </c>
      <c r="C67" s="77" t="n">
        <f aca="false">C65/C66</f>
        <v>2912.60590143209</v>
      </c>
    </row>
    <row r="69" customFormat="false" ht="15" hidden="false" customHeight="false" outlineLevel="0" collapsed="false">
      <c r="B69" s="9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2"/>
    <col collapsed="false" customWidth="true" hidden="false" outlineLevel="0" max="10" min="4" style="0" width="11"/>
    <col collapsed="false" customWidth="true" hidden="false" outlineLevel="0" max="11" min="11" style="0" width="3"/>
    <col collapsed="false" customWidth="true" hidden="false" outlineLevel="0" max="13" min="12" style="0" width="11"/>
  </cols>
  <sheetData>
    <row r="2" customFormat="false" ht="15" hidden="false" customHeight="false" outlineLevel="0" collapsed="false">
      <c r="B2" s="20" t="s">
        <v>702</v>
      </c>
      <c r="C2" s="20"/>
      <c r="D2" s="86" t="s">
        <v>703</v>
      </c>
      <c r="E2" s="86" t="s">
        <v>336</v>
      </c>
      <c r="F2" s="86" t="s">
        <v>337</v>
      </c>
      <c r="G2" s="86" t="s">
        <v>338</v>
      </c>
      <c r="H2" s="86" t="s">
        <v>339</v>
      </c>
      <c r="I2" s="86" t="s">
        <v>340</v>
      </c>
      <c r="J2" s="86" t="s">
        <v>341</v>
      </c>
      <c r="K2" s="20"/>
      <c r="L2" s="86" t="s">
        <v>238</v>
      </c>
      <c r="M2" s="86" t="s">
        <v>239</v>
      </c>
    </row>
    <row r="3" customFormat="false" ht="15" hidden="false" customHeight="false" outlineLevel="0" collapsed="false">
      <c r="B3" s="9" t="s">
        <v>704</v>
      </c>
    </row>
    <row r="5" customFormat="false" ht="15" hidden="false" customHeight="false" outlineLevel="0" collapsed="false">
      <c r="B5" s="9" t="s">
        <v>275</v>
      </c>
      <c r="D5" s="100" t="n">
        <v>1408.734</v>
      </c>
      <c r="E5" s="100" t="n">
        <v>1418.684</v>
      </c>
      <c r="F5" s="100" t="n">
        <v>1708.985</v>
      </c>
      <c r="G5" s="37" t="n">
        <f aca="false">M5-E5-F5-H5</f>
        <v>2049.959</v>
      </c>
      <c r="H5" s="100" t="n">
        <v>1510.039</v>
      </c>
      <c r="I5" s="100" t="n">
        <v>1542.321</v>
      </c>
      <c r="J5" s="100" t="n">
        <v>1729.838</v>
      </c>
      <c r="L5" s="100" t="n">
        <v>6415.545</v>
      </c>
      <c r="M5" s="100" t="n">
        <v>6687.667</v>
      </c>
    </row>
    <row r="6" customFormat="false" ht="15" hidden="false" customHeight="false" outlineLevel="0" collapsed="false">
      <c r="B6" s="9" t="s">
        <v>276</v>
      </c>
      <c r="D6" s="100" t="n">
        <v>700.632</v>
      </c>
      <c r="E6" s="100" t="n">
        <v>708.869</v>
      </c>
      <c r="F6" s="100" t="n">
        <v>808.512</v>
      </c>
      <c r="G6" s="37" t="n">
        <f aca="false">M6-E6-F6-H6</f>
        <v>888.183</v>
      </c>
      <c r="H6" s="100" t="n">
        <v>734.361</v>
      </c>
      <c r="I6" s="100" t="n">
        <v>788.9</v>
      </c>
      <c r="J6" s="100" t="n">
        <v>910.706</v>
      </c>
      <c r="L6" s="100" t="n">
        <v>3064.106</v>
      </c>
      <c r="M6" s="100" t="n">
        <v>3139.925</v>
      </c>
    </row>
    <row r="7" customFormat="false" ht="15" hidden="false" customHeight="false" outlineLevel="0" collapsed="false">
      <c r="B7" s="19" t="s">
        <v>277</v>
      </c>
      <c r="D7" s="85" t="n">
        <f aca="false">D5+D6</f>
        <v>2109.366</v>
      </c>
      <c r="E7" s="85" t="n">
        <f aca="false">E5+E6</f>
        <v>2127.553</v>
      </c>
      <c r="F7" s="85" t="n">
        <f aca="false">F5+F6</f>
        <v>2517.497</v>
      </c>
      <c r="G7" s="85" t="n">
        <f aca="false">G5+G6</f>
        <v>2938.142</v>
      </c>
      <c r="H7" s="85" t="n">
        <f aca="false">H5+H6</f>
        <v>2244.4</v>
      </c>
      <c r="I7" s="85" t="n">
        <f aca="false">I5+I6</f>
        <v>2331.221</v>
      </c>
      <c r="J7" s="85" t="n">
        <f aca="false">J5+J6</f>
        <v>2640.544</v>
      </c>
      <c r="L7" s="85" t="n">
        <f aca="false">L5+L6</f>
        <v>9479.651</v>
      </c>
      <c r="M7" s="85" t="n">
        <f aca="false">M5+M6</f>
        <v>9827.592</v>
      </c>
    </row>
    <row r="8" customFormat="false" ht="15" hidden="false" customHeight="false" outlineLevel="0" collapsed="false">
      <c r="B8" s="9" t="s">
        <v>279</v>
      </c>
      <c r="D8" s="100" t="n">
        <v>415.58</v>
      </c>
      <c r="E8" s="100" t="n">
        <v>395.343</v>
      </c>
      <c r="F8" s="100" t="n">
        <v>487.835</v>
      </c>
      <c r="G8" s="37" t="n">
        <f aca="false">M8-E8-F8-H8</f>
        <v>521.981</v>
      </c>
      <c r="H8" s="100" t="n">
        <v>376.845</v>
      </c>
      <c r="I8" s="100" t="n">
        <v>397.605</v>
      </c>
      <c r="J8" s="100" t="n">
        <v>484.668</v>
      </c>
      <c r="L8" s="100" t="n">
        <v>1917.443</v>
      </c>
      <c r="M8" s="100" t="n">
        <v>1782.004</v>
      </c>
    </row>
    <row r="9" customFormat="false" ht="15" hidden="false" customHeight="false" outlineLevel="0" collapsed="false">
      <c r="B9" s="9" t="s">
        <v>280</v>
      </c>
      <c r="D9" s="100" t="n">
        <v>146.057</v>
      </c>
      <c r="E9" s="100" t="n">
        <v>138.858</v>
      </c>
      <c r="F9" s="100" t="n">
        <v>187.684</v>
      </c>
      <c r="G9" s="37" t="n">
        <f aca="false">M9-E9-F9-H9</f>
        <v>222.002</v>
      </c>
      <c r="H9" s="100" t="n">
        <v>140.18</v>
      </c>
      <c r="I9" s="100" t="n">
        <v>151.868</v>
      </c>
      <c r="J9" s="100" t="n">
        <v>191.446</v>
      </c>
      <c r="L9" s="100" t="n">
        <v>661.553</v>
      </c>
      <c r="M9" s="100" t="n">
        <v>688.724</v>
      </c>
    </row>
    <row r="10" customFormat="false" ht="15" hidden="false" customHeight="false" outlineLevel="0" collapsed="false">
      <c r="B10" s="9" t="s">
        <v>705</v>
      </c>
      <c r="D10" s="100" t="n">
        <v>332.429</v>
      </c>
      <c r="E10" s="100" t="n">
        <v>334.504</v>
      </c>
      <c r="F10" s="100" t="n">
        <v>346.133</v>
      </c>
      <c r="G10" s="37" t="n">
        <f aca="false">M10-E10-F10-H10</f>
        <v>355.396</v>
      </c>
      <c r="H10" s="100" t="n">
        <v>367.023</v>
      </c>
      <c r="I10" s="100" t="n">
        <v>380.216</v>
      </c>
      <c r="J10" s="100" t="n">
        <v>394.573</v>
      </c>
      <c r="L10" s="100" t="n">
        <v>1344.718</v>
      </c>
      <c r="M10" s="100" t="n">
        <v>1403.056</v>
      </c>
    </row>
    <row r="11" customFormat="false" ht="15" hidden="false" customHeight="false" outlineLevel="0" collapsed="false">
      <c r="B11" s="9" t="s">
        <v>706</v>
      </c>
      <c r="D11" s="100" t="n">
        <v>160.418</v>
      </c>
      <c r="E11" s="100" t="n">
        <v>175.014</v>
      </c>
      <c r="F11" s="100" t="n">
        <v>157.377</v>
      </c>
      <c r="G11" s="37" t="n">
        <f aca="false">M11-E11-F11-H11</f>
        <v>175.913</v>
      </c>
      <c r="H11" s="100" t="n">
        <v>167.583</v>
      </c>
      <c r="I11" s="100" t="n">
        <v>168.926</v>
      </c>
      <c r="J11" s="100" t="n">
        <v>219.384</v>
      </c>
      <c r="L11" s="100" t="n">
        <v>698.05</v>
      </c>
      <c r="M11" s="100" t="n">
        <v>675.887</v>
      </c>
    </row>
    <row r="12" customFormat="false" ht="15" hidden="false" customHeight="false" outlineLevel="0" collapsed="false">
      <c r="B12" s="9" t="s">
        <v>707</v>
      </c>
      <c r="D12" s="100" t="n">
        <v>73.142</v>
      </c>
      <c r="E12" s="100" t="n">
        <v>75.588</v>
      </c>
      <c r="F12" s="100" t="n">
        <v>81.323</v>
      </c>
      <c r="G12" s="37" t="n">
        <f aca="false">M12-E12-F12-H12</f>
        <v>81.866</v>
      </c>
      <c r="H12" s="100" t="n">
        <v>76.683</v>
      </c>
      <c r="I12" s="100" t="n">
        <v>80.682</v>
      </c>
      <c r="J12" s="100" t="n">
        <v>87.322</v>
      </c>
      <c r="L12" s="100" t="n">
        <v>312.992</v>
      </c>
      <c r="M12" s="100" t="n">
        <v>315.46</v>
      </c>
    </row>
    <row r="13" customFormat="false" ht="15" hidden="false" customHeight="false" outlineLevel="0" collapsed="false">
      <c r="B13" s="9" t="s">
        <v>708</v>
      </c>
      <c r="D13" s="100" t="n">
        <v>179.953</v>
      </c>
      <c r="E13" s="100" t="n">
        <v>184.631</v>
      </c>
      <c r="F13" s="100" t="n">
        <v>196.495</v>
      </c>
      <c r="G13" s="37" t="n">
        <f aca="false">M13-E13-F13-H13</f>
        <v>197.701</v>
      </c>
      <c r="H13" s="100" t="n">
        <v>195.205</v>
      </c>
      <c r="I13" s="100" t="n">
        <v>198.584</v>
      </c>
      <c r="J13" s="100" t="n">
        <v>209.415</v>
      </c>
      <c r="L13" s="100" t="n">
        <v>753.94</v>
      </c>
      <c r="M13" s="100" t="n">
        <v>774.032</v>
      </c>
    </row>
    <row r="14" customFormat="false" ht="15" hidden="false" customHeight="false" outlineLevel="0" collapsed="false">
      <c r="B14" s="9" t="s">
        <v>709</v>
      </c>
      <c r="D14" s="37" t="n">
        <f aca="false">SUM(D8:D13)</f>
        <v>1307.579</v>
      </c>
      <c r="E14" s="37" t="n">
        <f aca="false">SUM(E8:E13)</f>
        <v>1303.938</v>
      </c>
      <c r="F14" s="37" t="n">
        <f aca="false">SUM(F8:F13)</f>
        <v>1456.847</v>
      </c>
      <c r="G14" s="37" t="n">
        <f aca="false">SUM(G8:G13)</f>
        <v>1554.859</v>
      </c>
      <c r="H14" s="37" t="n">
        <f aca="false">SUM(H8:H13)</f>
        <v>1323.519</v>
      </c>
      <c r="I14" s="37" t="n">
        <f aca="false">SUM(I8:I13)</f>
        <v>1377.881</v>
      </c>
      <c r="J14" s="37" t="n">
        <f aca="false">SUM(J8:J13)</f>
        <v>1586.808</v>
      </c>
      <c r="L14" s="37" t="n">
        <f aca="false">SUM(L8:L13)</f>
        <v>5688.696</v>
      </c>
      <c r="M14" s="37" t="n">
        <f aca="false">SUM(M8:M13)</f>
        <v>5639.163</v>
      </c>
    </row>
    <row r="15" customFormat="false" ht="15" hidden="false" customHeight="false" outlineLevel="0" collapsed="false">
      <c r="B15" s="9" t="s">
        <v>710</v>
      </c>
      <c r="D15" s="100" t="n">
        <v>360.566</v>
      </c>
      <c r="E15" s="100" t="n">
        <v>391.376</v>
      </c>
      <c r="F15" s="100" t="n">
        <v>393.054</v>
      </c>
      <c r="G15" s="37" t="n">
        <f aca="false">M15-E15-F15-H15</f>
        <v>383.002</v>
      </c>
      <c r="H15" s="100" t="n">
        <v>381.374</v>
      </c>
      <c r="I15" s="100" t="n">
        <v>459.681</v>
      </c>
      <c r="J15" s="100" t="n">
        <v>419.204</v>
      </c>
      <c r="L15" s="100" t="n">
        <v>1434.807</v>
      </c>
      <c r="M15" s="100" t="n">
        <v>1548.806</v>
      </c>
    </row>
    <row r="16" customFormat="false" ht="15" hidden="false" customHeight="false" outlineLevel="0" collapsed="false">
      <c r="B16" s="9" t="s">
        <v>290</v>
      </c>
      <c r="D16" s="100" t="n">
        <v>226.48</v>
      </c>
      <c r="E16" s="100" t="n">
        <v>231.297</v>
      </c>
      <c r="F16" s="100" t="n">
        <v>243.76</v>
      </c>
      <c r="G16" s="37" t="n">
        <f aca="false">M16-E16-F16-H16</f>
        <v>250.832</v>
      </c>
      <c r="H16" s="100" t="n">
        <v>352.866</v>
      </c>
      <c r="I16" s="100" t="n">
        <v>260.716</v>
      </c>
      <c r="J16" s="100" t="n">
        <v>271.205</v>
      </c>
      <c r="L16" s="100" t="n">
        <v>890.242</v>
      </c>
      <c r="M16" s="100" t="n">
        <v>1078.755</v>
      </c>
    </row>
    <row r="17" customFormat="false" ht="15" hidden="false" customHeight="false" outlineLevel="0" collapsed="false">
      <c r="B17" s="9" t="s">
        <v>711</v>
      </c>
      <c r="D17" s="37" t="n">
        <f aca="false">D7-D14-D15-D16</f>
        <v>214.741</v>
      </c>
      <c r="E17" s="37" t="n">
        <f aca="false">E7-E14-E15-E16</f>
        <v>200.942</v>
      </c>
      <c r="F17" s="37" t="n">
        <f aca="false">F7-F14-F15-F16</f>
        <v>423.836</v>
      </c>
      <c r="G17" s="37" t="n">
        <f aca="false">G7-G14-G15-G16</f>
        <v>749.449000000001</v>
      </c>
      <c r="H17" s="37" t="n">
        <f aca="false">H7-H14-H15-H16</f>
        <v>186.641</v>
      </c>
      <c r="I17" s="37" t="n">
        <f aca="false">I7-I14-I15-I16</f>
        <v>232.943</v>
      </c>
      <c r="J17" s="37" t="n">
        <f aca="false">J7-J14-J15-J16</f>
        <v>363.327</v>
      </c>
      <c r="L17" s="37" t="n">
        <f aca="false">L7-L14-L15-L16</f>
        <v>1465.906</v>
      </c>
      <c r="M17" s="37" t="n">
        <f aca="false">M7-M14-M15-M16</f>
        <v>1560.868</v>
      </c>
    </row>
    <row r="18" customFormat="false" ht="15" hidden="false" customHeight="false" outlineLevel="0" collapsed="false">
      <c r="B18" s="9" t="s">
        <v>712</v>
      </c>
      <c r="D18" s="100" t="n">
        <v>-175.358</v>
      </c>
      <c r="E18" s="100" t="n">
        <v>-217.872</v>
      </c>
      <c r="F18" s="100" t="n">
        <v>-236.782</v>
      </c>
      <c r="G18" s="37" t="n">
        <f aca="false">M18-E18-F18-H18</f>
        <v>-328.816</v>
      </c>
      <c r="H18" s="100" t="n">
        <v>-170.036</v>
      </c>
      <c r="I18" s="100" t="n">
        <v>-165.987</v>
      </c>
      <c r="J18" s="100" t="n">
        <v>-170.887</v>
      </c>
      <c r="L18" s="100" t="n">
        <v>-747.223</v>
      </c>
      <c r="M18" s="100" t="n">
        <v>-953.506</v>
      </c>
    </row>
    <row r="20" customFormat="false" ht="15" hidden="false" customHeight="false" outlineLevel="0" collapsed="false">
      <c r="B20" s="19" t="s">
        <v>713</v>
      </c>
      <c r="D20" s="85" t="n">
        <f aca="false">D7-D8-D9</f>
        <v>1547.729</v>
      </c>
      <c r="E20" s="85" t="n">
        <f aca="false">E7-E8-E9</f>
        <v>1593.352</v>
      </c>
      <c r="F20" s="85" t="n">
        <f aca="false">F7-F8-F9</f>
        <v>1841.978</v>
      </c>
      <c r="G20" s="85" t="n">
        <f aca="false">G7-G8-G9</f>
        <v>2194.159</v>
      </c>
      <c r="H20" s="85" t="n">
        <f aca="false">H7-H8-H9</f>
        <v>1727.375</v>
      </c>
      <c r="I20" s="85" t="n">
        <f aca="false">I7-I8-I9</f>
        <v>1781.748</v>
      </c>
      <c r="J20" s="85" t="n">
        <f aca="false">J7-J8-J9</f>
        <v>1964.43</v>
      </c>
      <c r="L20" s="85" t="n">
        <f aca="false">L7-L8-L9</f>
        <v>6900.655</v>
      </c>
      <c r="M20" s="85" t="n">
        <f aca="false">M7-M8-M9</f>
        <v>7356.864</v>
      </c>
    </row>
    <row r="21" customFormat="false" ht="15" hidden="false" customHeight="false" outlineLevel="0" collapsed="false">
      <c r="B21" s="9" t="s">
        <v>714</v>
      </c>
      <c r="D21" s="100" t="n">
        <v>919.16</v>
      </c>
      <c r="E21" s="100" t="n">
        <v>965.265</v>
      </c>
      <c r="F21" s="100" t="n">
        <v>990.554</v>
      </c>
      <c r="G21" s="37" t="n">
        <f aca="false">M21-E21-F21-H21</f>
        <v>998.994</v>
      </c>
      <c r="H21" s="100" t="n">
        <v>995.938</v>
      </c>
      <c r="I21" s="100" t="n">
        <v>1079.925</v>
      </c>
      <c r="J21" s="100" t="n">
        <v>1079.531</v>
      </c>
      <c r="L21" s="100" t="n">
        <v>3751.801</v>
      </c>
      <c r="M21" s="100" t="n">
        <v>3950.751</v>
      </c>
    </row>
    <row r="22" customFormat="false" ht="15" hidden="false" customHeight="false" outlineLevel="0" collapsed="false">
      <c r="B22" s="19" t="s">
        <v>715</v>
      </c>
      <c r="D22" s="85" t="n">
        <f aca="false">D20-D21-D11</f>
        <v>468.151</v>
      </c>
      <c r="E22" s="85" t="n">
        <f aca="false">E20-E21-E11</f>
        <v>453.073</v>
      </c>
      <c r="F22" s="85" t="n">
        <f aca="false">F20-F21-F11</f>
        <v>694.047</v>
      </c>
      <c r="G22" s="85" t="n">
        <f aca="false">G20-G21-G11</f>
        <v>1019.252</v>
      </c>
      <c r="H22" s="85" t="n">
        <f aca="false">H20-H21-H11</f>
        <v>563.854</v>
      </c>
      <c r="I22" s="85" t="n">
        <f aca="false">I20-I21-I11</f>
        <v>532.897</v>
      </c>
      <c r="J22" s="85" t="n">
        <f aca="false">J20-J21-J11</f>
        <v>665.515</v>
      </c>
      <c r="L22" s="85" t="n">
        <f aca="false">L20-L21-L11</f>
        <v>2450.804</v>
      </c>
      <c r="M22" s="85" t="n">
        <f aca="false">M20-M21-M11</f>
        <v>2730.226</v>
      </c>
    </row>
    <row r="23" customFormat="false" ht="15" hidden="false" customHeight="false" outlineLevel="0" collapsed="false">
      <c r="B23" s="9" t="s">
        <v>716</v>
      </c>
      <c r="D23" s="100" t="n">
        <v>468.151</v>
      </c>
      <c r="E23" s="100" t="n">
        <v>453.073</v>
      </c>
      <c r="F23" s="100" t="n">
        <v>694.047</v>
      </c>
      <c r="G23" s="37" t="n">
        <f aca="false">M23-E23-F23-H23</f>
        <v>1019.252</v>
      </c>
      <c r="H23" s="100" t="n">
        <v>563.854</v>
      </c>
      <c r="I23" s="100" t="n">
        <v>532.897</v>
      </c>
      <c r="J23" s="100" t="n">
        <v>665.515</v>
      </c>
      <c r="L23" s="100" t="n">
        <v>2450.804</v>
      </c>
      <c r="M23" s="100" t="n">
        <v>2730.226</v>
      </c>
    </row>
    <row r="24" customFormat="false" ht="15" hidden="false" customHeight="false" outlineLevel="0" collapsed="false">
      <c r="B24" s="9" t="s">
        <v>717</v>
      </c>
      <c r="D24" s="37" t="n">
        <f aca="false">D22-D23</f>
        <v>0</v>
      </c>
      <c r="E24" s="37" t="n">
        <f aca="false">E22-E23</f>
        <v>0</v>
      </c>
      <c r="F24" s="37" t="n">
        <f aca="false">F22-F23</f>
        <v>0</v>
      </c>
      <c r="G24" s="37" t="n">
        <f aca="false">G22-G23</f>
        <v>0</v>
      </c>
      <c r="H24" s="37" t="n">
        <f aca="false">H22-H23</f>
        <v>0</v>
      </c>
      <c r="I24" s="37" t="n">
        <f aca="false">I22-I23</f>
        <v>0</v>
      </c>
      <c r="J24" s="37" t="n">
        <f aca="false">J22-J23</f>
        <v>0</v>
      </c>
      <c r="L24" s="37" t="n">
        <f aca="false">L22-L23</f>
        <v>0</v>
      </c>
      <c r="M24" s="37" t="n">
        <f aca="false">M22-M23</f>
        <v>0</v>
      </c>
    </row>
    <row r="25" customFormat="false" ht="15" hidden="false" customHeight="false" outlineLevel="0" collapsed="false">
      <c r="B25" s="9" t="s">
        <v>718</v>
      </c>
      <c r="D25" s="100" t="n">
        <v>92.081</v>
      </c>
      <c r="E25" s="100" t="n">
        <v>46.53</v>
      </c>
      <c r="F25" s="100" t="n">
        <v>257.271</v>
      </c>
      <c r="G25" s="37" t="n">
        <f aca="false">M25-E25-F25-H25</f>
        <v>610.532</v>
      </c>
      <c r="H25" s="100" t="n">
        <v>130.419</v>
      </c>
      <c r="I25" s="100" t="n">
        <v>107.526</v>
      </c>
      <c r="J25" s="100" t="n">
        <v>221.99</v>
      </c>
      <c r="L25" s="100" t="n">
        <v>911.688</v>
      </c>
      <c r="M25" s="100" t="n">
        <v>1044.752</v>
      </c>
    </row>
    <row r="26" customFormat="false" ht="15" hidden="false" customHeight="false" outlineLevel="0" collapsed="false">
      <c r="B26" s="9" t="s">
        <v>719</v>
      </c>
      <c r="D26" s="100" t="n">
        <v>480.4016</v>
      </c>
      <c r="E26" s="100" t="n">
        <v>446.3613</v>
      </c>
      <c r="F26" s="100" t="n">
        <v>502.2517</v>
      </c>
      <c r="G26" s="100" t="n">
        <v>495.73</v>
      </c>
      <c r="H26" s="100" t="n">
        <v>465.9181</v>
      </c>
      <c r="I26" s="100" t="n">
        <v>466.1451</v>
      </c>
      <c r="J26" s="100" t="n">
        <v>463.9324</v>
      </c>
      <c r="L26" s="100" t="n">
        <v>515.0305</v>
      </c>
      <c r="M26" s="100" t="n">
        <v>495.3854</v>
      </c>
    </row>
    <row r="27" customFormat="false" ht="15" hidden="false" customHeight="false" outlineLevel="0" collapsed="false">
      <c r="B27" s="9" t="s">
        <v>720</v>
      </c>
      <c r="D27" s="132" t="n">
        <v>0.19</v>
      </c>
      <c r="E27" s="132" t="n">
        <v>0.1</v>
      </c>
      <c r="F27" s="132" t="n">
        <v>0.51</v>
      </c>
      <c r="G27" s="132" t="n">
        <v>1.2</v>
      </c>
      <c r="H27" s="132" t="n">
        <v>0.28</v>
      </c>
      <c r="I27" s="132" t="n">
        <v>0.23</v>
      </c>
      <c r="J27" s="132" t="n">
        <v>0.48</v>
      </c>
      <c r="L27" s="132" t="n">
        <v>1.77</v>
      </c>
      <c r="M27" s="132" t="n">
        <v>2.11</v>
      </c>
    </row>
    <row r="29" customFormat="false" ht="15" hidden="false" customHeight="false" outlineLevel="0" collapsed="false">
      <c r="B29" s="9" t="s">
        <v>270</v>
      </c>
      <c r="D29" s="135" t="n">
        <v>5.8343</v>
      </c>
      <c r="E29" s="135" t="n">
        <v>5.7006</v>
      </c>
      <c r="F29" s="135" t="n">
        <v>6.0523</v>
      </c>
      <c r="G29" s="92" t="n">
        <f aca="false">M29-E29-F29-H29</f>
        <v>6.4176</v>
      </c>
      <c r="H29" s="135" t="n">
        <v>6.2631</v>
      </c>
      <c r="I29" s="135" t="n">
        <v>6.393</v>
      </c>
      <c r="J29" s="135" t="n">
        <v>6.5897</v>
      </c>
      <c r="L29" s="135" t="n">
        <v>23.4454</v>
      </c>
      <c r="M29" s="135" t="n">
        <v>24.4336</v>
      </c>
    </row>
    <row r="30" customFormat="false" ht="15" hidden="false" customHeight="false" outlineLevel="0" collapsed="false">
      <c r="B30" s="9" t="s">
        <v>272</v>
      </c>
      <c r="D30" s="135" t="n">
        <v>5.8818</v>
      </c>
      <c r="E30" s="135" t="n">
        <v>5.7872</v>
      </c>
      <c r="F30" s="135" t="n">
        <v>6.2888</v>
      </c>
      <c r="G30" s="92" t="n">
        <f aca="false">M30-E30-F30-H30</f>
        <v>6.8283</v>
      </c>
      <c r="H30" s="135" t="n">
        <v>6.3741</v>
      </c>
      <c r="I30" s="135" t="n">
        <v>6.6345</v>
      </c>
      <c r="J30" s="135" t="n">
        <v>6.746</v>
      </c>
      <c r="L30" s="135" t="n">
        <v>24.5933</v>
      </c>
      <c r="M30" s="135" t="n">
        <v>25.2784</v>
      </c>
    </row>
    <row r="31" customFormat="false" ht="15" hidden="false" customHeight="false" outlineLevel="0" collapsed="false">
      <c r="B31" s="9" t="s">
        <v>58</v>
      </c>
      <c r="D31" s="11" t="n">
        <f aca="false">D30/D29</f>
        <v>1.00814150797868</v>
      </c>
      <c r="E31" s="11" t="n">
        <f aca="false">E30/E29</f>
        <v>1.01519138336316</v>
      </c>
      <c r="F31" s="11" t="n">
        <f aca="false">F30/F29</f>
        <v>1.03907605373164</v>
      </c>
      <c r="G31" s="11" t="n">
        <f aca="false">G30/G29</f>
        <v>1.06399588631264</v>
      </c>
      <c r="H31" s="11" t="n">
        <f aca="false">H30/H29</f>
        <v>1.01772285290032</v>
      </c>
      <c r="I31" s="11" t="n">
        <f aca="false">I30/I29</f>
        <v>1.0377756921633</v>
      </c>
      <c r="J31" s="11" t="n">
        <f aca="false">J30/J29</f>
        <v>1.02371883393781</v>
      </c>
      <c r="L31" s="11" t="n">
        <f aca="false">L30/L29</f>
        <v>1.04896056369266</v>
      </c>
      <c r="M31" s="11" t="n">
        <f aca="false">M30/M29</f>
        <v>1.03457533887761</v>
      </c>
    </row>
    <row r="32" customFormat="false" ht="15" hidden="false" customHeight="false" outlineLevel="0" collapsed="false">
      <c r="B32" s="19" t="s">
        <v>62</v>
      </c>
      <c r="D32" s="94" t="n">
        <f aca="false">D20/D29</f>
        <v>265.28101057539</v>
      </c>
      <c r="E32" s="94" t="n">
        <f aca="false">E20/E29</f>
        <v>279.506016910501</v>
      </c>
      <c r="F32" s="94" t="n">
        <f aca="false">F20/F29</f>
        <v>304.343472729376</v>
      </c>
      <c r="G32" s="94" t="n">
        <f aca="false">G20/G29</f>
        <v>341.897126651708</v>
      </c>
      <c r="H32" s="94" t="n">
        <f aca="false">H20/H29</f>
        <v>275.801919177404</v>
      </c>
      <c r="I32" s="94" t="n">
        <f aca="false">I20/I29</f>
        <v>278.702956358517</v>
      </c>
      <c r="J32" s="94" t="n">
        <f aca="false">J20/J29</f>
        <v>298.106135332413</v>
      </c>
      <c r="L32" s="94" t="n">
        <f aca="false">L20/L29</f>
        <v>294.328738259957</v>
      </c>
      <c r="M32" s="94" t="n">
        <f aca="false">M20/M29</f>
        <v>301.096195403052</v>
      </c>
    </row>
    <row r="34" customFormat="false" ht="15" hidden="false" customHeight="false" outlineLevel="0" collapsed="false">
      <c r="B34" s="9" t="s">
        <v>230</v>
      </c>
      <c r="D34" s="38" t="n">
        <f aca="false">D5/D30</f>
        <v>239.507293685606</v>
      </c>
      <c r="E34" s="38" t="n">
        <f aca="false">E5/E30</f>
        <v>245.141692009953</v>
      </c>
      <c r="F34" s="38" t="n">
        <f aca="false">F5/F30</f>
        <v>271.750572446254</v>
      </c>
      <c r="G34" s="38" t="n">
        <f aca="false">G5/G30</f>
        <v>300.215134074367</v>
      </c>
      <c r="H34" s="38" t="n">
        <f aca="false">H5/H30</f>
        <v>236.902307776784</v>
      </c>
      <c r="I34" s="38" t="n">
        <f aca="false">I5/I30</f>
        <v>232.46981686638</v>
      </c>
      <c r="J34" s="38" t="n">
        <f aca="false">J5/J30</f>
        <v>256.424251408242</v>
      </c>
      <c r="L34" s="38" t="n">
        <f aca="false">L5/L30</f>
        <v>260.865560945461</v>
      </c>
      <c r="M34" s="38" t="n">
        <f aca="false">M5/M30</f>
        <v>264.56053389455</v>
      </c>
    </row>
    <row r="35" customFormat="false" ht="15" hidden="false" customHeight="false" outlineLevel="0" collapsed="false">
      <c r="B35" s="9" t="s">
        <v>60</v>
      </c>
      <c r="D35" s="38" t="n">
        <f aca="false">D6/D30</f>
        <v>119.118637151892</v>
      </c>
      <c r="E35" s="38" t="n">
        <f aca="false">E6/E30</f>
        <v>122.489113906552</v>
      </c>
      <c r="F35" s="38" t="n">
        <f aca="false">F6/F30</f>
        <v>128.563795954713</v>
      </c>
      <c r="G35" s="38" t="n">
        <f aca="false">G6/G30</f>
        <v>130.07381046527</v>
      </c>
      <c r="H35" s="38" t="n">
        <f aca="false">H6/H30</f>
        <v>115.210147314915</v>
      </c>
      <c r="I35" s="38" t="n">
        <f aca="false">I6/I30</f>
        <v>118.90873464466</v>
      </c>
      <c r="J35" s="38" t="n">
        <f aca="false">J6/J30</f>
        <v>134.999407056033</v>
      </c>
      <c r="L35" s="38" t="n">
        <f aca="false">L6/L30</f>
        <v>124.5910878166</v>
      </c>
      <c r="M35" s="38" t="n">
        <f aca="false">M6/M30</f>
        <v>124.213755617444</v>
      </c>
    </row>
    <row r="36" customFormat="false" ht="15" hidden="false" customHeight="false" outlineLevel="0" collapsed="false">
      <c r="B36" s="9" t="s">
        <v>721</v>
      </c>
      <c r="D36" s="11" t="n">
        <f aca="false">D8/D5</f>
        <v>0.295002463204551</v>
      </c>
      <c r="E36" s="11" t="n">
        <f aca="false">E8/E5</f>
        <v>0.278668822655362</v>
      </c>
      <c r="F36" s="11" t="n">
        <f aca="false">F8/F5</f>
        <v>0.285453061320023</v>
      </c>
      <c r="G36" s="11" t="n">
        <f aca="false">G8/G5</f>
        <v>0.254629970648193</v>
      </c>
      <c r="H36" s="11" t="n">
        <f aca="false">H8/H5</f>
        <v>0.249559779581852</v>
      </c>
      <c r="I36" s="11" t="n">
        <f aca="false">I8/I5</f>
        <v>0.257796528738181</v>
      </c>
      <c r="J36" s="11" t="n">
        <f aca="false">J8/J5</f>
        <v>0.280181149911148</v>
      </c>
      <c r="L36" s="11" t="n">
        <f aca="false">L8/L5</f>
        <v>0.298874530534818</v>
      </c>
      <c r="M36" s="11" t="n">
        <f aca="false">M8/M5</f>
        <v>0.266461233790498</v>
      </c>
    </row>
    <row r="37" customFormat="false" ht="15" hidden="false" customHeight="false" outlineLevel="0" collapsed="false">
      <c r="B37" s="9" t="s">
        <v>722</v>
      </c>
      <c r="D37" s="11" t="n">
        <f aca="false">D9/D6</f>
        <v>0.208464643350575</v>
      </c>
      <c r="E37" s="11" t="n">
        <f aca="false">E9/E6</f>
        <v>0.195886687102977</v>
      </c>
      <c r="F37" s="11" t="n">
        <f aca="false">F9/F6</f>
        <v>0.232135082719861</v>
      </c>
      <c r="G37" s="11" t="n">
        <f aca="false">G9/G6</f>
        <v>0.249950742133096</v>
      </c>
      <c r="H37" s="11" t="n">
        <f aca="false">H9/H6</f>
        <v>0.190887043293421</v>
      </c>
      <c r="I37" s="11" t="n">
        <f aca="false">I9/I6</f>
        <v>0.192506021041957</v>
      </c>
      <c r="J37" s="11" t="n">
        <f aca="false">J9/J6</f>
        <v>0.210217128249951</v>
      </c>
      <c r="L37" s="11" t="n">
        <f aca="false">L9/L6</f>
        <v>0.215904084258182</v>
      </c>
      <c r="M37" s="11" t="n">
        <f aca="false">M9/M6</f>
        <v>0.219344092613677</v>
      </c>
    </row>
    <row r="39" customFormat="false" ht="15" hidden="false" customHeight="false" outlineLevel="0" collapsed="false">
      <c r="B39" s="9" t="s">
        <v>723</v>
      </c>
      <c r="D39" s="100" t="n">
        <v>3105.964</v>
      </c>
      <c r="E39" s="100" t="n">
        <v>3762.256</v>
      </c>
      <c r="F39" s="100" t="n">
        <v>3833.775</v>
      </c>
      <c r="G39" s="100" t="n">
        <v>3146.869</v>
      </c>
      <c r="H39" s="100" t="n">
        <v>3200.593</v>
      </c>
      <c r="I39" s="100" t="n">
        <v>3718.873</v>
      </c>
      <c r="J39" s="100" t="n">
        <v>3651.201</v>
      </c>
      <c r="L39" s="100" t="n">
        <v>3105.964</v>
      </c>
      <c r="M39" s="100" t="n">
        <v>3200.593</v>
      </c>
    </row>
    <row r="40" customFormat="false" ht="15" hidden="false" customHeight="false" outlineLevel="0" collapsed="false">
      <c r="B40" s="9" t="s">
        <v>724</v>
      </c>
      <c r="H40" s="100" t="n">
        <v>14396</v>
      </c>
      <c r="I40" s="100" t="n">
        <v>15000</v>
      </c>
      <c r="J40" s="100" t="n">
        <v>14800</v>
      </c>
      <c r="M40" s="100" t="n">
        <v>14396</v>
      </c>
    </row>
    <row r="42" customFormat="false" ht="15" hidden="false" customHeight="false" outlineLevel="0" collapsed="false">
      <c r="B42" s="9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4"/>
  <sheetViews>
    <sheetView showFormulas="false" showGridLines="false" showRowColHeaders="true" showZeros="true" rightToLeft="false" tabSelected="false" showOutlineSymbols="true" defaultGridColor="true" view="normal" topLeftCell="A1" colorId="64" zoomScale="207" zoomScaleNormal="207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B56" activeCellId="0" sqref="AB5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2"/>
    <col collapsed="false" customWidth="true" hidden="false" outlineLevel="0" max="13" min="4" style="0" width="11"/>
  </cols>
  <sheetData>
    <row r="2" customFormat="false" ht="15" hidden="false" customHeight="false" outlineLevel="0" collapsed="false">
      <c r="B2" s="20" t="s">
        <v>726</v>
      </c>
      <c r="C2" s="20"/>
      <c r="D2" s="86" t="s">
        <v>727</v>
      </c>
      <c r="E2" s="86" t="s">
        <v>728</v>
      </c>
      <c r="F2" s="86" t="s">
        <v>729</v>
      </c>
      <c r="G2" s="86" t="s">
        <v>730</v>
      </c>
      <c r="H2" s="86" t="s">
        <v>731</v>
      </c>
      <c r="I2" s="86" t="s">
        <v>732</v>
      </c>
      <c r="J2" s="86" t="s">
        <v>733</v>
      </c>
      <c r="K2" s="86" t="s">
        <v>734</v>
      </c>
      <c r="L2" s="86" t="s">
        <v>238</v>
      </c>
      <c r="M2" s="86" t="s">
        <v>239</v>
      </c>
    </row>
    <row r="3" customFormat="false" ht="15" hidden="false" customHeight="false" outlineLevel="0" collapsed="false">
      <c r="B3" s="9" t="s">
        <v>735</v>
      </c>
    </row>
    <row r="5" customFormat="false" ht="15" hidden="false" customHeight="false" outlineLevel="0" collapsed="false">
      <c r="B5" s="19" t="s">
        <v>277</v>
      </c>
      <c r="D5" s="140" t="n">
        <v>4874.34</v>
      </c>
      <c r="E5" s="140" t="n">
        <v>5396.175</v>
      </c>
      <c r="F5" s="140" t="n">
        <v>6055.126</v>
      </c>
      <c r="G5" s="140" t="n">
        <v>6462.376</v>
      </c>
      <c r="H5" s="140" t="n">
        <v>1279.908</v>
      </c>
      <c r="I5" s="140" t="n">
        <v>647.986</v>
      </c>
      <c r="J5" s="140" t="n">
        <v>4843.76</v>
      </c>
      <c r="K5" s="140" t="n">
        <v>8549.924</v>
      </c>
      <c r="L5" s="140" t="n">
        <v>9479.651</v>
      </c>
      <c r="M5" s="140" t="n">
        <v>9827.592</v>
      </c>
    </row>
    <row r="6" customFormat="false" ht="15" hidden="false" customHeight="false" outlineLevel="0" collapsed="false">
      <c r="B6" s="9" t="s">
        <v>709</v>
      </c>
      <c r="D6" s="96" t="n">
        <f aca="false">D5-D8-D9-D10</f>
        <v>2850.225</v>
      </c>
      <c r="E6" s="96" t="n">
        <f aca="false">E5-E8-E9-E10</f>
        <v>3063.644</v>
      </c>
      <c r="F6" s="96" t="n">
        <f aca="false">F5-F8-F9-F10</f>
        <v>3377.076</v>
      </c>
      <c r="G6" s="131" t="n">
        <v>3663.261</v>
      </c>
      <c r="H6" s="131" t="n">
        <v>1693.061</v>
      </c>
      <c r="I6" s="131" t="n">
        <v>1608.037</v>
      </c>
      <c r="J6" s="131" t="n">
        <v>4267.086</v>
      </c>
      <c r="K6" s="131" t="n">
        <v>5468.587</v>
      </c>
      <c r="L6" s="131" t="n">
        <v>5688.696</v>
      </c>
      <c r="M6" s="131" t="n">
        <v>5639.163</v>
      </c>
    </row>
    <row r="7" customFormat="false" ht="15" hidden="false" customHeight="false" outlineLevel="0" collapsed="false">
      <c r="B7" s="9" t="s">
        <v>736</v>
      </c>
      <c r="D7" s="131" t="n">
        <v>335.174</v>
      </c>
      <c r="E7" s="131" t="n">
        <v>361.032</v>
      </c>
      <c r="F7" s="131" t="n">
        <v>392.685</v>
      </c>
      <c r="G7" s="131" t="n">
        <v>409.602</v>
      </c>
      <c r="H7" s="131" t="n">
        <v>264.712</v>
      </c>
      <c r="I7" s="131" t="n">
        <v>301.852</v>
      </c>
      <c r="J7" s="131" t="n">
        <v>686.825</v>
      </c>
      <c r="K7" s="131" t="n">
        <v>716.833</v>
      </c>
      <c r="L7" s="131" t="n">
        <v>698.05</v>
      </c>
      <c r="M7" s="131" t="n">
        <v>675.887</v>
      </c>
    </row>
    <row r="8" customFormat="false" ht="15" hidden="false" customHeight="false" outlineLevel="0" collapsed="false">
      <c r="B8" s="9" t="s">
        <v>710</v>
      </c>
      <c r="D8" s="131" t="n">
        <v>666.156</v>
      </c>
      <c r="E8" s="131" t="n">
        <v>773.755</v>
      </c>
      <c r="F8" s="131" t="n">
        <v>897.929</v>
      </c>
      <c r="G8" s="131" t="n">
        <v>974.85</v>
      </c>
      <c r="H8" s="131" t="n">
        <v>745.345</v>
      </c>
      <c r="I8" s="131" t="n">
        <v>891.452</v>
      </c>
      <c r="J8" s="131" t="n">
        <v>1379.105</v>
      </c>
      <c r="K8" s="131" t="n">
        <v>1341.858</v>
      </c>
      <c r="L8" s="131" t="n">
        <v>1434.807</v>
      </c>
      <c r="M8" s="131" t="n">
        <v>1548.806</v>
      </c>
    </row>
    <row r="9" customFormat="false" ht="15" hidden="false" customHeight="false" outlineLevel="0" collapsed="false">
      <c r="B9" s="9" t="s">
        <v>290</v>
      </c>
      <c r="D9" s="131" t="n">
        <v>432.495</v>
      </c>
      <c r="E9" s="131" t="n">
        <v>509.957</v>
      </c>
      <c r="F9" s="131" t="n">
        <v>561.06</v>
      </c>
      <c r="G9" s="131" t="n">
        <v>646.188</v>
      </c>
      <c r="H9" s="131" t="n">
        <v>717.84</v>
      </c>
      <c r="I9" s="131" t="n">
        <v>700.845</v>
      </c>
      <c r="J9" s="131" t="n">
        <v>749.326</v>
      </c>
      <c r="K9" s="131" t="n">
        <v>808.568</v>
      </c>
      <c r="L9" s="131" t="n">
        <v>890.242</v>
      </c>
      <c r="M9" s="131" t="n">
        <v>1078.755</v>
      </c>
    </row>
    <row r="10" customFormat="false" ht="15" hidden="false" customHeight="false" outlineLevel="0" collapsed="false">
      <c r="B10" s="19" t="s">
        <v>711</v>
      </c>
      <c r="D10" s="140" t="n">
        <v>925.464</v>
      </c>
      <c r="E10" s="140" t="n">
        <v>1048.819</v>
      </c>
      <c r="F10" s="140" t="n">
        <v>1219.061</v>
      </c>
      <c r="G10" s="140" t="n">
        <v>1178.077</v>
      </c>
      <c r="H10" s="140" t="n">
        <v>-3484.135</v>
      </c>
      <c r="I10" s="140" t="n">
        <v>-2552.348</v>
      </c>
      <c r="J10" s="140" t="n">
        <v>-1551.757</v>
      </c>
      <c r="K10" s="140" t="n">
        <v>930.911</v>
      </c>
      <c r="L10" s="140" t="n">
        <v>1465.906</v>
      </c>
      <c r="M10" s="140" t="n">
        <v>1560.868</v>
      </c>
    </row>
    <row r="11" customFormat="false" ht="15" hidden="false" customHeight="false" outlineLevel="0" collapsed="false">
      <c r="B11" s="9" t="s">
        <v>737</v>
      </c>
      <c r="D11" s="11" t="n">
        <f aca="false">D10/D5</f>
        <v>0.189864473959551</v>
      </c>
      <c r="E11" s="11" t="n">
        <f aca="false">E10/E5</f>
        <v>0.194363414826243</v>
      </c>
      <c r="F11" s="11" t="n">
        <f aca="false">F10/F5</f>
        <v>0.201327106983405</v>
      </c>
      <c r="G11" s="11" t="n">
        <f aca="false">G10/G5</f>
        <v>0.182297811207519</v>
      </c>
      <c r="H11" s="11" t="n">
        <f aca="false">H10/H5</f>
        <v>-2.722176125159</v>
      </c>
      <c r="I11" s="11" t="n">
        <f aca="false">I10/I5</f>
        <v>-3.93889374153145</v>
      </c>
      <c r="J11" s="11" t="n">
        <f aca="false">J10/J5</f>
        <v>-0.320362074091202</v>
      </c>
      <c r="K11" s="11" t="n">
        <f aca="false">K10/K5</f>
        <v>0.108879447349474</v>
      </c>
      <c r="L11" s="11" t="n">
        <f aca="false">L10/L5</f>
        <v>0.15463712746387</v>
      </c>
      <c r="M11" s="11" t="n">
        <f aca="false">M10/M5</f>
        <v>0.158825071289081</v>
      </c>
    </row>
    <row r="12" customFormat="false" ht="15" hidden="false" customHeight="false" outlineLevel="0" collapsed="false">
      <c r="B12" s="19" t="s">
        <v>738</v>
      </c>
      <c r="D12" s="90" t="n">
        <f aca="false">D10+D9</f>
        <v>1357.959</v>
      </c>
      <c r="E12" s="90" t="n">
        <f aca="false">E10+E9</f>
        <v>1558.776</v>
      </c>
      <c r="F12" s="90" t="n">
        <f aca="false">F10+F9</f>
        <v>1780.121</v>
      </c>
      <c r="G12" s="90" t="n">
        <f aca="false">G10+G9</f>
        <v>1824.265</v>
      </c>
      <c r="H12" s="90" t="n">
        <f aca="false">H10+H9</f>
        <v>-2766.295</v>
      </c>
      <c r="I12" s="90" t="n">
        <f aca="false">I10+I9</f>
        <v>-1851.503</v>
      </c>
      <c r="J12" s="90" t="n">
        <f aca="false">J10+J9</f>
        <v>-802.431</v>
      </c>
      <c r="K12" s="90" t="n">
        <f aca="false">K10+K9</f>
        <v>1739.479</v>
      </c>
      <c r="L12" s="90" t="n">
        <f aca="false">L10+L9</f>
        <v>2356.148</v>
      </c>
      <c r="M12" s="90" t="n">
        <f aca="false">M10+M9</f>
        <v>2639.623</v>
      </c>
    </row>
    <row r="14" customFormat="false" ht="15" hidden="false" customHeight="false" outlineLevel="0" collapsed="false">
      <c r="B14" s="9" t="s">
        <v>739</v>
      </c>
      <c r="D14" s="131" t="n">
        <v>-276.859</v>
      </c>
      <c r="E14" s="131" t="n">
        <v>-267.804</v>
      </c>
      <c r="F14" s="131" t="n">
        <v>-270.404</v>
      </c>
      <c r="G14" s="131" t="n">
        <v>-272.867</v>
      </c>
      <c r="H14" s="131" t="n">
        <v>-482.313</v>
      </c>
      <c r="I14" s="131" t="n">
        <v>-2072.925</v>
      </c>
      <c r="J14" s="131" t="n">
        <v>-801.512</v>
      </c>
      <c r="K14" s="131" t="n">
        <v>-727.531</v>
      </c>
      <c r="L14" s="131" t="n">
        <v>-747.223</v>
      </c>
      <c r="M14" s="131" t="n">
        <v>-953.506</v>
      </c>
    </row>
    <row r="15" customFormat="false" ht="15" hidden="false" customHeight="false" outlineLevel="0" collapsed="false">
      <c r="B15" s="9" t="s">
        <v>740</v>
      </c>
      <c r="D15" s="131" t="n">
        <v>-38.18</v>
      </c>
      <c r="E15" s="131" t="n">
        <v>-22.211</v>
      </c>
      <c r="F15" s="131" t="n">
        <v>-6.346</v>
      </c>
      <c r="G15" s="131" t="n">
        <v>-13.397</v>
      </c>
      <c r="H15" s="131" t="n">
        <v>-10.48</v>
      </c>
      <c r="I15" s="131" t="n">
        <v>-1399.816</v>
      </c>
      <c r="J15" s="131" t="n">
        <v>-188.799</v>
      </c>
      <c r="K15" s="131" t="n">
        <v>-6.701</v>
      </c>
      <c r="L15" s="131" t="n">
        <v>-29.175</v>
      </c>
      <c r="M15" s="131" t="n">
        <v>-272.085</v>
      </c>
    </row>
    <row r="16" customFormat="false" ht="15" hidden="false" customHeight="false" outlineLevel="0" collapsed="false">
      <c r="B16" s="9" t="s">
        <v>741</v>
      </c>
      <c r="D16" s="131" t="n">
        <v>-8.302</v>
      </c>
      <c r="E16" s="131" t="n">
        <v>-10.401</v>
      </c>
      <c r="F16" s="131" t="n">
        <v>20.653</v>
      </c>
      <c r="G16" s="131" t="n">
        <v>6.155</v>
      </c>
      <c r="H16" s="131" t="n">
        <v>-33.599</v>
      </c>
      <c r="I16" s="131" t="n">
        <v>123.953</v>
      </c>
      <c r="J16" s="131" t="n">
        <v>76.566</v>
      </c>
      <c r="K16" s="131" t="n">
        <v>-40.204</v>
      </c>
      <c r="L16" s="131" t="n">
        <v>54.224</v>
      </c>
      <c r="M16" s="131" t="n">
        <v>-178.641</v>
      </c>
    </row>
    <row r="17" customFormat="false" ht="15" hidden="false" customHeight="false" outlineLevel="0" collapsed="false">
      <c r="B17" s="9" t="s">
        <v>742</v>
      </c>
      <c r="D17" s="131" t="n">
        <v>-7.218</v>
      </c>
      <c r="E17" s="131" t="n">
        <v>-10.742</v>
      </c>
      <c r="F17" s="131" t="n">
        <v>-14.467</v>
      </c>
      <c r="G17" s="131" t="n">
        <v>18.863</v>
      </c>
      <c r="H17" s="131" t="n">
        <v>-12.467</v>
      </c>
      <c r="I17" s="131" t="n">
        <v>-5.267</v>
      </c>
      <c r="J17" s="131" t="n">
        <v>6.794</v>
      </c>
      <c r="K17" s="131" t="n">
        <v>3.002</v>
      </c>
      <c r="L17" s="131" t="n">
        <v>137.35</v>
      </c>
      <c r="M17" s="131" t="n">
        <v>-5.475</v>
      </c>
    </row>
    <row r="18" customFormat="false" ht="15" hidden="false" customHeight="false" outlineLevel="0" collapsed="false">
      <c r="B18" s="19" t="s">
        <v>743</v>
      </c>
      <c r="D18" s="140" t="n">
        <v>633.085</v>
      </c>
      <c r="E18" s="140" t="n">
        <v>759.872</v>
      </c>
      <c r="F18" s="140" t="n">
        <v>954.843</v>
      </c>
      <c r="G18" s="140" t="n">
        <v>930.228</v>
      </c>
      <c r="H18" s="140" t="n">
        <v>-4012.514</v>
      </c>
      <c r="I18" s="140" t="n">
        <v>-4506.587</v>
      </c>
      <c r="J18" s="140" t="n">
        <v>-2269.909</v>
      </c>
      <c r="K18" s="140" t="n">
        <v>166.178</v>
      </c>
      <c r="L18" s="140" t="n">
        <v>910.257</v>
      </c>
      <c r="M18" s="140" t="n">
        <v>423.246</v>
      </c>
    </row>
    <row r="19" customFormat="false" ht="15" hidden="false" customHeight="false" outlineLevel="0" collapsed="false">
      <c r="B19" s="9" t="s">
        <v>744</v>
      </c>
      <c r="D19" s="96" t="n">
        <f aca="false">D10+D14+D16+D17-D18</f>
        <v>0</v>
      </c>
      <c r="E19" s="96" t="n">
        <f aca="false">E10+E14+E16+E17-E18</f>
        <v>0</v>
      </c>
      <c r="F19" s="96" t="n">
        <f aca="false">F10+F14+F16+F17-F18</f>
        <v>0</v>
      </c>
      <c r="G19" s="96" t="n">
        <f aca="false">G10+G14+G16+G17-G18</f>
        <v>0</v>
      </c>
      <c r="H19" s="96" t="n">
        <f aca="false">H10+H14+H16+H17-H18</f>
        <v>0</v>
      </c>
      <c r="I19" s="96" t="n">
        <f aca="false">I10+I14+I16+I17-I18</f>
        <v>0</v>
      </c>
      <c r="J19" s="96" t="n">
        <f aca="false">J10+J14+J16+J17-J18</f>
        <v>0</v>
      </c>
      <c r="K19" s="96" t="n">
        <f aca="false">K10+K14+K16+K17-K18</f>
        <v>0</v>
      </c>
      <c r="L19" s="96" t="n">
        <f aca="false">L10+L14+L16+L17-L18</f>
        <v>0</v>
      </c>
      <c r="M19" s="96" t="n">
        <f aca="false">M10+M14+M16+M17-M18</f>
        <v>0</v>
      </c>
    </row>
    <row r="21" customFormat="false" ht="15" hidden="false" customHeight="false" outlineLevel="0" collapsed="false">
      <c r="B21" s="9" t="s">
        <v>162</v>
      </c>
      <c r="D21" s="100" t="n">
        <v>227.850286</v>
      </c>
      <c r="E21" s="100" t="n">
        <v>229.418326</v>
      </c>
      <c r="F21" s="100" t="n">
        <v>224.419205</v>
      </c>
      <c r="G21" s="100" t="n">
        <v>216.475076</v>
      </c>
      <c r="H21" s="100" t="n">
        <v>254.728932</v>
      </c>
      <c r="I21" s="100" t="n">
        <v>365.449967</v>
      </c>
      <c r="J21" s="100" t="n">
        <v>419.773195</v>
      </c>
      <c r="K21" s="100" t="n">
        <v>427.400849</v>
      </c>
      <c r="L21" s="100" t="n">
        <v>515.030548</v>
      </c>
      <c r="M21" s="100" t="n">
        <v>477.742311</v>
      </c>
    </row>
    <row r="22" customFormat="false" ht="15" hidden="false" customHeight="false" outlineLevel="0" collapsed="false">
      <c r="B22" s="19" t="s">
        <v>745</v>
      </c>
      <c r="D22" s="141" t="n">
        <v>2.78</v>
      </c>
      <c r="E22" s="141" t="n">
        <v>3.31</v>
      </c>
      <c r="F22" s="141" t="n">
        <v>4.25</v>
      </c>
      <c r="G22" s="141" t="n">
        <v>4.3</v>
      </c>
      <c r="H22" s="141" t="n">
        <v>-15.75</v>
      </c>
      <c r="I22" s="141" t="n">
        <v>-12.33</v>
      </c>
      <c r="J22" s="141" t="n">
        <v>-5.41</v>
      </c>
      <c r="K22" s="141" t="n">
        <v>0.39</v>
      </c>
      <c r="L22" s="141" t="n">
        <v>1.89</v>
      </c>
      <c r="M22" s="141" t="n">
        <v>0.92</v>
      </c>
    </row>
    <row r="24" customFormat="false" ht="15" hidden="false" customHeight="false" outlineLevel="0" collapsed="false">
      <c r="B24" s="9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2"/>
    <col collapsed="false" customWidth="true" hidden="false" outlineLevel="0" max="13" min="4" style="0" width="11"/>
  </cols>
  <sheetData>
    <row r="2" customFormat="false" ht="15" hidden="false" customHeight="false" outlineLevel="0" collapsed="false">
      <c r="B2" s="20" t="s">
        <v>747</v>
      </c>
      <c r="C2" s="20"/>
      <c r="D2" s="86" t="s">
        <v>727</v>
      </c>
      <c r="E2" s="86" t="s">
        <v>728</v>
      </c>
      <c r="F2" s="86" t="s">
        <v>729</v>
      </c>
      <c r="G2" s="86" t="s">
        <v>730</v>
      </c>
      <c r="H2" s="86" t="s">
        <v>731</v>
      </c>
      <c r="I2" s="86" t="s">
        <v>732</v>
      </c>
      <c r="J2" s="86" t="s">
        <v>733</v>
      </c>
      <c r="K2" s="86" t="s">
        <v>734</v>
      </c>
      <c r="L2" s="86" t="s">
        <v>238</v>
      </c>
      <c r="M2" s="86" t="s">
        <v>239</v>
      </c>
    </row>
    <row r="3" customFormat="false" ht="15" hidden="false" customHeight="false" outlineLevel="0" collapsed="false">
      <c r="B3" s="9" t="s">
        <v>735</v>
      </c>
    </row>
    <row r="5" customFormat="false" ht="15" hidden="false" customHeight="false" outlineLevel="0" collapsed="false">
      <c r="B5" s="19" t="s">
        <v>748</v>
      </c>
      <c r="D5" s="140" t="n">
        <v>1264.087</v>
      </c>
      <c r="E5" s="140" t="n">
        <v>1601.247</v>
      </c>
      <c r="F5" s="140" t="n">
        <v>2075.171</v>
      </c>
      <c r="G5" s="140" t="n">
        <v>1822.605</v>
      </c>
      <c r="H5" s="140" t="n">
        <v>-2556.243</v>
      </c>
      <c r="I5" s="140" t="n">
        <v>-2468.009</v>
      </c>
      <c r="J5" s="140" t="n">
        <v>210.02</v>
      </c>
      <c r="K5" s="140" t="n">
        <v>2005.714</v>
      </c>
      <c r="L5" s="140" t="n">
        <v>2049.823</v>
      </c>
      <c r="M5" s="140" t="n">
        <v>2089.746</v>
      </c>
    </row>
    <row r="6" customFormat="false" ht="15" hidden="false" customHeight="false" outlineLevel="0" collapsed="false">
      <c r="B6" s="9" t="s">
        <v>749</v>
      </c>
      <c r="D6" s="131" t="n">
        <v>134.971</v>
      </c>
      <c r="E6" s="131" t="n">
        <v>154.012</v>
      </c>
      <c r="F6" s="131" t="n">
        <v>262.603</v>
      </c>
      <c r="G6" s="131" t="n">
        <v>347.376</v>
      </c>
      <c r="H6" s="131" t="n">
        <v>-811.846</v>
      </c>
      <c r="I6" s="131" t="n">
        <v>521.91</v>
      </c>
      <c r="J6" s="131" t="n">
        <v>928.947</v>
      </c>
      <c r="K6" s="131" t="n">
        <v>503.678</v>
      </c>
      <c r="L6" s="131" t="n">
        <v>35.68</v>
      </c>
      <c r="M6" s="131" t="n">
        <v>66.302</v>
      </c>
    </row>
    <row r="7" customFormat="false" ht="15" hidden="false" customHeight="false" outlineLevel="0" collapsed="false">
      <c r="B7" s="9" t="s">
        <v>750</v>
      </c>
      <c r="D7" s="131" t="n">
        <v>66.414</v>
      </c>
      <c r="E7" s="131" t="n">
        <v>87.039</v>
      </c>
      <c r="F7" s="131" t="n">
        <v>115.983</v>
      </c>
      <c r="G7" s="131" t="n">
        <v>95.055</v>
      </c>
      <c r="H7" s="131" t="n">
        <v>111.297</v>
      </c>
      <c r="I7" s="131" t="n">
        <v>124.077</v>
      </c>
      <c r="J7" s="131" t="n">
        <v>113.563</v>
      </c>
      <c r="K7" s="131" t="n">
        <v>118.94</v>
      </c>
      <c r="L7" s="131" t="n">
        <v>91.781</v>
      </c>
      <c r="M7" s="131" t="n">
        <v>88.393</v>
      </c>
    </row>
    <row r="8" customFormat="false" ht="15" hidden="false" customHeight="false" outlineLevel="0" collapsed="false">
      <c r="B8" s="9" t="s">
        <v>751</v>
      </c>
      <c r="D8" s="131" t="n">
        <v>-1092.091</v>
      </c>
      <c r="E8" s="131" t="n">
        <v>-1372.214</v>
      </c>
      <c r="F8" s="131" t="n">
        <v>-1566.796</v>
      </c>
      <c r="G8" s="131" t="n">
        <v>-1637.17</v>
      </c>
      <c r="H8" s="131" t="n">
        <v>-946.545</v>
      </c>
      <c r="I8" s="131" t="n">
        <v>-752.843</v>
      </c>
      <c r="J8" s="131" t="n">
        <v>-1783.857</v>
      </c>
      <c r="K8" s="131" t="n">
        <v>-2750.362</v>
      </c>
      <c r="L8" s="131" t="n">
        <v>-1210.952</v>
      </c>
      <c r="M8" s="131" t="n">
        <v>-3259.606</v>
      </c>
    </row>
    <row r="9" customFormat="false" ht="15" hidden="false" customHeight="false" outlineLevel="0" collapsed="false">
      <c r="B9" s="19" t="s">
        <v>752</v>
      </c>
      <c r="D9" s="90" t="n">
        <f aca="false">D5+D8</f>
        <v>171.996</v>
      </c>
      <c r="E9" s="90" t="n">
        <f aca="false">E5+E8</f>
        <v>229.033</v>
      </c>
      <c r="F9" s="90" t="n">
        <f aca="false">F5+F8</f>
        <v>508.375</v>
      </c>
      <c r="G9" s="90" t="n">
        <f aca="false">G5+G8</f>
        <v>185.435</v>
      </c>
      <c r="H9" s="90" t="n">
        <f aca="false">H5+H8</f>
        <v>-3502.788</v>
      </c>
      <c r="I9" s="90" t="n">
        <f aca="false">I5+I8</f>
        <v>-3220.852</v>
      </c>
      <c r="J9" s="90" t="n">
        <f aca="false">J5+J8</f>
        <v>-1573.837</v>
      </c>
      <c r="K9" s="90" t="n">
        <f aca="false">K5+K8</f>
        <v>-744.648</v>
      </c>
      <c r="L9" s="90" t="n">
        <f aca="false">L5+L8</f>
        <v>838.871</v>
      </c>
      <c r="M9" s="90" t="n">
        <f aca="false">M5+M8</f>
        <v>-1169.86</v>
      </c>
    </row>
    <row r="10" customFormat="false" ht="15" hidden="false" customHeight="false" outlineLevel="0" collapsed="false">
      <c r="B10" s="9" t="s">
        <v>753</v>
      </c>
      <c r="D10" s="131" t="n">
        <v>-1128.914</v>
      </c>
      <c r="E10" s="131" t="n">
        <v>-1404.898</v>
      </c>
      <c r="F10" s="131" t="n">
        <v>-1502.708</v>
      </c>
      <c r="G10" s="131" t="n">
        <v>-1680.192</v>
      </c>
      <c r="H10" s="131" t="n">
        <v>-975.362</v>
      </c>
      <c r="I10" s="131" t="n">
        <v>-1004.044</v>
      </c>
      <c r="J10" s="131" t="n">
        <v>-1755.904</v>
      </c>
      <c r="K10" s="131" t="n">
        <v>-2897.143</v>
      </c>
      <c r="L10" s="131" t="n">
        <v>-1229.388</v>
      </c>
      <c r="M10" s="131" t="n">
        <v>-3264.691</v>
      </c>
    </row>
    <row r="12" customFormat="false" ht="15" hidden="false" customHeight="false" outlineLevel="0" collapsed="false">
      <c r="B12" s="9" t="s">
        <v>754</v>
      </c>
      <c r="D12" s="131" t="n">
        <v>3753.928</v>
      </c>
      <c r="E12" s="131" t="n">
        <v>1816.39</v>
      </c>
      <c r="F12" s="131" t="n">
        <v>1904.865</v>
      </c>
      <c r="G12" s="131" t="n">
        <v>4122.297</v>
      </c>
      <c r="H12" s="131" t="n">
        <v>6075.09</v>
      </c>
      <c r="I12" s="131" t="n">
        <v>2601.317</v>
      </c>
      <c r="J12" s="131" t="n">
        <v>3003.003</v>
      </c>
      <c r="K12" s="131" t="n">
        <v>4322.941</v>
      </c>
      <c r="L12" s="131" t="n">
        <v>1298.599</v>
      </c>
      <c r="M12" s="131" t="n">
        <v>9737.789</v>
      </c>
    </row>
    <row r="13" customFormat="false" ht="15" hidden="false" customHeight="false" outlineLevel="0" collapsed="false">
      <c r="B13" s="9" t="s">
        <v>755</v>
      </c>
      <c r="D13" s="131" t="n">
        <v>-3744.029</v>
      </c>
      <c r="E13" s="131" t="n">
        <v>-1916.885</v>
      </c>
      <c r="F13" s="131" t="n">
        <v>-1716.244</v>
      </c>
      <c r="G13" s="131" t="n">
        <v>-3806.732</v>
      </c>
      <c r="H13" s="131" t="n">
        <v>-892.481</v>
      </c>
      <c r="I13" s="131" t="n">
        <v>-2113.063</v>
      </c>
      <c r="J13" s="131" t="n">
        <v>-1770.172</v>
      </c>
      <c r="K13" s="131" t="n">
        <v>-3758.234</v>
      </c>
      <c r="L13" s="131" t="n">
        <v>-2169.045</v>
      </c>
      <c r="M13" s="131" t="n">
        <v>-8172.855</v>
      </c>
    </row>
    <row r="14" customFormat="false" ht="15" hidden="false" customHeight="false" outlineLevel="0" collapsed="false">
      <c r="B14" s="9" t="s">
        <v>756</v>
      </c>
      <c r="H14" s="131" t="n">
        <v>1541.708</v>
      </c>
      <c r="I14" s="131" t="n">
        <v>2665.843</v>
      </c>
      <c r="M14" s="131" t="n">
        <v>144.956</v>
      </c>
    </row>
    <row r="15" customFormat="false" ht="15" hidden="false" customHeight="false" outlineLevel="0" collapsed="false">
      <c r="B15" s="9" t="s">
        <v>757</v>
      </c>
      <c r="D15" s="131" t="n">
        <v>-49.999</v>
      </c>
      <c r="F15" s="131" t="n">
        <v>-664.811</v>
      </c>
      <c r="G15" s="131" t="n">
        <v>-349.86</v>
      </c>
    </row>
    <row r="16" customFormat="false" ht="15" hidden="false" customHeight="false" outlineLevel="0" collapsed="false">
      <c r="B16" s="19" t="s">
        <v>758</v>
      </c>
      <c r="D16" s="140" t="n">
        <v>-122.763</v>
      </c>
      <c r="E16" s="140" t="n">
        <v>-148.506</v>
      </c>
      <c r="F16" s="140" t="n">
        <v>-584.802</v>
      </c>
      <c r="G16" s="140" t="n">
        <v>-53.388</v>
      </c>
      <c r="H16" s="140" t="n">
        <v>6579.211</v>
      </c>
      <c r="I16" s="140" t="n">
        <v>1678.218</v>
      </c>
      <c r="J16" s="140" t="n">
        <v>986.224</v>
      </c>
      <c r="K16" s="140" t="n">
        <v>346.857</v>
      </c>
      <c r="L16" s="140" t="n">
        <v>-1032.085</v>
      </c>
      <c r="M16" s="140" t="n">
        <v>1194.073</v>
      </c>
    </row>
    <row r="18" customFormat="false" ht="15" hidden="false" customHeight="false" outlineLevel="0" collapsed="false">
      <c r="B18" s="9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2"/>
    <col collapsed="false" customWidth="true" hidden="false" outlineLevel="0" max="13" min="4" style="0" width="11"/>
  </cols>
  <sheetData>
    <row r="2" customFormat="false" ht="15" hidden="false" customHeight="false" outlineLevel="0" collapsed="false">
      <c r="B2" s="20" t="s">
        <v>760</v>
      </c>
      <c r="C2" s="20"/>
      <c r="D2" s="86" t="s">
        <v>727</v>
      </c>
      <c r="E2" s="86" t="s">
        <v>728</v>
      </c>
      <c r="F2" s="86" t="s">
        <v>729</v>
      </c>
      <c r="G2" s="86" t="s">
        <v>730</v>
      </c>
      <c r="H2" s="86" t="s">
        <v>731</v>
      </c>
      <c r="I2" s="86" t="s">
        <v>732</v>
      </c>
      <c r="J2" s="86" t="s">
        <v>733</v>
      </c>
      <c r="K2" s="86" t="s">
        <v>734</v>
      </c>
      <c r="L2" s="86" t="s">
        <v>238</v>
      </c>
      <c r="M2" s="86" t="s">
        <v>239</v>
      </c>
    </row>
    <row r="3" customFormat="false" ht="15" hidden="false" customHeight="false" outlineLevel="0" collapsed="false">
      <c r="B3" s="9" t="s">
        <v>735</v>
      </c>
    </row>
    <row r="5" customFormat="false" ht="15" hidden="false" customHeight="false" outlineLevel="0" collapsed="false">
      <c r="B5" s="9" t="s">
        <v>761</v>
      </c>
      <c r="D5" s="131" t="n">
        <v>128.347</v>
      </c>
      <c r="E5" s="131" t="n">
        <v>176.19</v>
      </c>
      <c r="F5" s="131" t="n">
        <v>163.851</v>
      </c>
      <c r="G5" s="131" t="n">
        <v>252.876</v>
      </c>
      <c r="H5" s="131" t="n">
        <v>3300.482</v>
      </c>
      <c r="I5" s="131" t="n">
        <v>1506.647</v>
      </c>
      <c r="J5" s="131" t="n">
        <v>946.987</v>
      </c>
      <c r="K5" s="131" t="n">
        <v>402.415</v>
      </c>
      <c r="L5" s="131" t="n">
        <v>190.765</v>
      </c>
      <c r="M5" s="131" t="n">
        <v>209.893</v>
      </c>
    </row>
    <row r="6" customFormat="false" ht="15" hidden="false" customHeight="false" outlineLevel="0" collapsed="false">
      <c r="B6" s="9" t="s">
        <v>762</v>
      </c>
      <c r="D6" s="131" t="n">
        <v>63.215</v>
      </c>
      <c r="E6" s="131" t="n">
        <v>43.961</v>
      </c>
      <c r="F6" s="131" t="n">
        <v>55.249</v>
      </c>
      <c r="G6" s="131" t="n">
        <v>75.109</v>
      </c>
      <c r="H6" s="131" t="n">
        <v>20.578</v>
      </c>
      <c r="I6" s="131" t="n">
        <v>1167.473</v>
      </c>
      <c r="J6" s="131" t="n">
        <v>326.272</v>
      </c>
      <c r="K6" s="131" t="n">
        <v>280.271</v>
      </c>
      <c r="L6" s="131" t="n">
        <v>221.412</v>
      </c>
      <c r="M6" s="131" t="n">
        <v>291.659</v>
      </c>
    </row>
    <row r="7" customFormat="false" ht="15" hidden="false" customHeight="false" outlineLevel="0" collapsed="false">
      <c r="B7" s="9" t="s">
        <v>763</v>
      </c>
      <c r="D7" s="131" t="n">
        <v>66.255</v>
      </c>
      <c r="E7" s="131" t="n">
        <v>82.121</v>
      </c>
      <c r="F7" s="131" t="n">
        <v>90.202</v>
      </c>
      <c r="G7" s="131" t="n">
        <v>95.427</v>
      </c>
      <c r="H7" s="131" t="n">
        <v>82.381</v>
      </c>
      <c r="I7" s="131" t="n">
        <v>118.205</v>
      </c>
      <c r="J7" s="131" t="n">
        <v>148.717</v>
      </c>
      <c r="K7" s="131" t="n">
        <v>157.646</v>
      </c>
      <c r="L7" s="131" t="n">
        <v>149.718</v>
      </c>
      <c r="M7" s="131" t="n">
        <v>138.181</v>
      </c>
    </row>
    <row r="8" customFormat="false" ht="15" hidden="false" customHeight="false" outlineLevel="0" collapsed="false">
      <c r="B8" s="19" t="s">
        <v>764</v>
      </c>
      <c r="D8" s="140" t="n">
        <v>411.093</v>
      </c>
      <c r="E8" s="140" t="n">
        <v>518.337</v>
      </c>
      <c r="F8" s="140" t="n">
        <v>550.313</v>
      </c>
      <c r="G8" s="140" t="n">
        <v>730.145</v>
      </c>
      <c r="H8" s="140" t="n">
        <v>3557.544</v>
      </c>
      <c r="I8" s="140" t="n">
        <v>3301.568</v>
      </c>
      <c r="J8" s="140" t="n">
        <v>1872.869</v>
      </c>
      <c r="K8" s="140" t="n">
        <v>1313.148</v>
      </c>
      <c r="L8" s="140" t="n">
        <v>1010.104</v>
      </c>
      <c r="M8" s="140" t="n">
        <v>1138.541</v>
      </c>
    </row>
    <row r="9" customFormat="false" ht="15" hidden="false" customHeight="false" outlineLevel="0" collapsed="false">
      <c r="B9" s="9" t="s">
        <v>765</v>
      </c>
      <c r="D9" s="131" t="n">
        <v>10117.689</v>
      </c>
      <c r="E9" s="131" t="n">
        <v>11040.488</v>
      </c>
      <c r="F9" s="131" t="n">
        <v>12119.253</v>
      </c>
      <c r="G9" s="131" t="n">
        <v>13135.337</v>
      </c>
      <c r="H9" s="131" t="n">
        <v>13411.226</v>
      </c>
      <c r="I9" s="131" t="n">
        <v>13528.806</v>
      </c>
      <c r="J9" s="131" t="n">
        <v>14516.366</v>
      </c>
      <c r="K9" s="131" t="n">
        <v>16433.292</v>
      </c>
      <c r="L9" s="131" t="n">
        <v>16810.65</v>
      </c>
      <c r="M9" s="131" t="n">
        <v>19068.807</v>
      </c>
    </row>
    <row r="10" customFormat="false" ht="15" hidden="false" customHeight="false" outlineLevel="0" collapsed="false">
      <c r="B10" s="9" t="s">
        <v>766</v>
      </c>
      <c r="D10" s="131" t="n">
        <v>1388.931</v>
      </c>
      <c r="E10" s="131" t="n">
        <v>1388.931</v>
      </c>
      <c r="F10" s="131" t="n">
        <v>1388.931</v>
      </c>
      <c r="G10" s="131" t="n">
        <v>1388.931</v>
      </c>
      <c r="H10" s="131" t="n">
        <v>98.134</v>
      </c>
      <c r="I10" s="131" t="n">
        <v>98.134</v>
      </c>
      <c r="J10" s="131" t="n">
        <v>98.134</v>
      </c>
      <c r="K10" s="131" t="n">
        <v>98.134</v>
      </c>
      <c r="L10" s="131" t="n">
        <v>135.764</v>
      </c>
      <c r="M10" s="131" t="n">
        <v>135.764</v>
      </c>
    </row>
    <row r="11" customFormat="false" ht="15" hidden="false" customHeight="false" outlineLevel="0" collapsed="false">
      <c r="B11" s="9" t="s">
        <v>767</v>
      </c>
      <c r="D11" s="131" t="n">
        <v>817.525</v>
      </c>
      <c r="E11" s="131" t="n">
        <v>817.525</v>
      </c>
      <c r="F11" s="131" t="n">
        <v>817.525</v>
      </c>
      <c r="G11" s="131" t="n">
        <v>817.525</v>
      </c>
      <c r="H11" s="131" t="n">
        <v>500.525</v>
      </c>
      <c r="I11" s="131" t="n">
        <v>500.525</v>
      </c>
      <c r="J11" s="131" t="n">
        <v>500.525</v>
      </c>
      <c r="K11" s="131" t="n">
        <v>500.525</v>
      </c>
      <c r="L11" s="131" t="n">
        <v>500.525</v>
      </c>
      <c r="M11" s="131" t="n">
        <v>500.525</v>
      </c>
    </row>
    <row r="12" customFormat="false" ht="15" hidden="false" customHeight="false" outlineLevel="0" collapsed="false">
      <c r="B12" s="19" t="s">
        <v>768</v>
      </c>
      <c r="D12" s="140" t="n">
        <v>12973.911</v>
      </c>
      <c r="E12" s="140" t="n">
        <v>14094.869</v>
      </c>
      <c r="F12" s="140" t="n">
        <v>15205.97</v>
      </c>
      <c r="G12" s="140" t="n">
        <v>16684.599</v>
      </c>
      <c r="H12" s="140" t="n">
        <v>18399.317</v>
      </c>
      <c r="I12" s="140" t="n">
        <v>18729.837</v>
      </c>
      <c r="J12" s="140" t="n">
        <v>18557.694</v>
      </c>
      <c r="K12" s="140" t="n">
        <v>19492.99</v>
      </c>
      <c r="L12" s="140" t="n">
        <v>19969.811</v>
      </c>
      <c r="M12" s="140" t="n">
        <v>22541.401</v>
      </c>
    </row>
    <row r="14" customFormat="false" ht="15" hidden="false" customHeight="false" outlineLevel="0" collapsed="false">
      <c r="B14" s="9" t="s">
        <v>769</v>
      </c>
      <c r="D14" s="131" t="n">
        <v>38.002</v>
      </c>
      <c r="E14" s="131" t="n">
        <v>53.433</v>
      </c>
      <c r="F14" s="131" t="n">
        <v>159.564</v>
      </c>
      <c r="G14" s="131" t="n">
        <v>100.777</v>
      </c>
      <c r="H14" s="131" t="n">
        <v>83.136</v>
      </c>
      <c r="I14" s="131" t="n">
        <v>233.172</v>
      </c>
      <c r="J14" s="131" t="n">
        <v>228.742</v>
      </c>
      <c r="K14" s="131" t="n">
        <v>174.338</v>
      </c>
      <c r="L14" s="131" t="n">
        <v>171.106</v>
      </c>
      <c r="M14" s="131" t="n">
        <v>169.655</v>
      </c>
    </row>
    <row r="15" customFormat="false" ht="15" hidden="false" customHeight="false" outlineLevel="0" collapsed="false">
      <c r="B15" s="9" t="s">
        <v>770</v>
      </c>
      <c r="D15" s="131" t="n">
        <v>1172.87</v>
      </c>
      <c r="E15" s="131" t="n">
        <v>1303.498</v>
      </c>
      <c r="F15" s="131" t="n">
        <v>1593.219</v>
      </c>
      <c r="G15" s="131" t="n">
        <v>1954.98</v>
      </c>
      <c r="H15" s="131" t="n">
        <v>1109.826</v>
      </c>
      <c r="I15" s="131" t="n">
        <v>1561.336</v>
      </c>
      <c r="J15" s="131" t="n">
        <v>2516.521</v>
      </c>
      <c r="K15" s="131" t="n">
        <v>3060.666</v>
      </c>
      <c r="L15" s="131" t="n">
        <v>3105.964</v>
      </c>
      <c r="M15" s="131" t="n">
        <v>3200.593</v>
      </c>
    </row>
    <row r="16" customFormat="false" ht="15" hidden="false" customHeight="false" outlineLevel="0" collapsed="false">
      <c r="B16" s="9" t="s">
        <v>771</v>
      </c>
      <c r="D16" s="131" t="n">
        <v>560.193</v>
      </c>
      <c r="E16" s="131" t="n">
        <v>619.373</v>
      </c>
      <c r="F16" s="131" t="n">
        <v>681.218</v>
      </c>
      <c r="G16" s="131" t="n">
        <v>746.358</v>
      </c>
      <c r="H16" s="131" t="n">
        <v>124.885</v>
      </c>
      <c r="I16" s="131" t="n">
        <v>876.89</v>
      </c>
      <c r="J16" s="131" t="n">
        <v>991.128</v>
      </c>
      <c r="K16" s="131" t="n">
        <v>1744.778</v>
      </c>
      <c r="L16" s="131" t="n">
        <v>1323.769</v>
      </c>
      <c r="M16" s="131" t="n">
        <v>875.899</v>
      </c>
    </row>
    <row r="17" customFormat="false" ht="15" hidden="false" customHeight="false" outlineLevel="0" collapsed="false">
      <c r="B17" s="19" t="s">
        <v>772</v>
      </c>
      <c r="D17" s="140" t="n">
        <v>2312.818</v>
      </c>
      <c r="E17" s="140" t="n">
        <v>2490.021</v>
      </c>
      <c r="F17" s="140" t="n">
        <v>3150.5</v>
      </c>
      <c r="G17" s="140" t="n">
        <v>3584.39</v>
      </c>
      <c r="H17" s="140" t="n">
        <v>1913.903</v>
      </c>
      <c r="I17" s="140" t="n">
        <v>3730.432</v>
      </c>
      <c r="J17" s="140" t="n">
        <v>5054.851</v>
      </c>
      <c r="K17" s="140" t="n">
        <v>6038.701</v>
      </c>
      <c r="L17" s="140" t="n">
        <v>5780.865</v>
      </c>
      <c r="M17" s="140" t="n">
        <v>5452.577</v>
      </c>
    </row>
    <row r="18" customFormat="false" ht="15" hidden="false" customHeight="false" outlineLevel="0" collapsed="false">
      <c r="B18" s="9" t="s">
        <v>773</v>
      </c>
      <c r="D18" s="131" t="n">
        <v>5838.494</v>
      </c>
      <c r="E18" s="131" t="n">
        <v>5688.392</v>
      </c>
      <c r="F18" s="131" t="n">
        <v>5810.873</v>
      </c>
      <c r="G18" s="131" t="n">
        <v>6055.335</v>
      </c>
      <c r="H18" s="131" t="n">
        <v>11681.234</v>
      </c>
      <c r="I18" s="131" t="n">
        <v>11569.7</v>
      </c>
      <c r="J18" s="131" t="n">
        <v>12630.402</v>
      </c>
      <c r="K18" s="131" t="n">
        <v>12314.147</v>
      </c>
      <c r="L18" s="131" t="n">
        <v>11776.721</v>
      </c>
      <c r="M18" s="131" t="n">
        <v>13730.277</v>
      </c>
    </row>
    <row r="19" customFormat="false" ht="15" hidden="false" customHeight="false" outlineLevel="0" collapsed="false">
      <c r="B19" s="19" t="s">
        <v>774</v>
      </c>
      <c r="D19" s="140" t="n">
        <v>8436.185</v>
      </c>
      <c r="E19" s="140" t="n">
        <v>8345.103</v>
      </c>
      <c r="F19" s="140" t="n">
        <v>9242.969</v>
      </c>
      <c r="G19" s="140" t="n">
        <v>10169.02</v>
      </c>
      <c r="H19" s="140" t="n">
        <v>14045.212</v>
      </c>
      <c r="I19" s="140" t="n">
        <v>16297.187</v>
      </c>
      <c r="J19" s="140" t="n">
        <v>18489.103</v>
      </c>
      <c r="K19" s="140" t="n">
        <v>19192.183</v>
      </c>
      <c r="L19" s="140" t="n">
        <v>18544.372</v>
      </c>
      <c r="M19" s="140" t="n">
        <v>20331.513</v>
      </c>
    </row>
    <row r="20" customFormat="false" ht="15" hidden="false" customHeight="false" outlineLevel="0" collapsed="false">
      <c r="B20" s="19" t="s">
        <v>775</v>
      </c>
      <c r="D20" s="140" t="n">
        <v>4537.726</v>
      </c>
      <c r="E20" s="140" t="n">
        <v>5749.766</v>
      </c>
      <c r="F20" s="140" t="n">
        <v>5963.001</v>
      </c>
      <c r="G20" s="140" t="n">
        <v>6515.579</v>
      </c>
      <c r="H20" s="140" t="n">
        <v>4354.105</v>
      </c>
      <c r="I20" s="140" t="n">
        <v>2432.65</v>
      </c>
      <c r="J20" s="140" t="n">
        <v>68.591</v>
      </c>
      <c r="K20" s="140" t="n">
        <v>300.807</v>
      </c>
      <c r="L20" s="140" t="n">
        <v>1425.439</v>
      </c>
      <c r="M20" s="140" t="n">
        <v>2209.888</v>
      </c>
    </row>
    <row r="21" customFormat="false" ht="15" hidden="false" customHeight="false" outlineLevel="0" collapsed="false">
      <c r="B21" s="9" t="s">
        <v>776</v>
      </c>
      <c r="D21" s="96" t="n">
        <f aca="false">D12-D19-D20</f>
        <v>0</v>
      </c>
      <c r="E21" s="96" t="n">
        <f aca="false">E12-E19-E20</f>
        <v>0</v>
      </c>
      <c r="F21" s="96" t="n">
        <f aca="false">F12-F19-F20</f>
        <v>0</v>
      </c>
      <c r="G21" s="96" t="n">
        <f aca="false">G12-G19-G20</f>
        <v>0</v>
      </c>
      <c r="H21" s="96" t="n">
        <f aca="false">H12-H19-H20</f>
        <v>0</v>
      </c>
      <c r="I21" s="96" t="n">
        <f aca="false">I12-I19-I20</f>
        <v>0</v>
      </c>
      <c r="J21" s="96" t="n">
        <f aca="false">J12-J19-J20</f>
        <v>3.5527136788005E-013</v>
      </c>
      <c r="K21" s="96" t="n">
        <f aca="false">K12-K19-K20</f>
        <v>0</v>
      </c>
      <c r="L21" s="96" t="n">
        <f aca="false">L12-L19-L20</f>
        <v>0</v>
      </c>
      <c r="M21" s="96" t="n">
        <f aca="false">M12-M19-M20</f>
        <v>0</v>
      </c>
    </row>
    <row r="23" customFormat="false" ht="15" hidden="false" customHeight="false" outlineLevel="0" collapsed="false">
      <c r="B23" s="9" t="s">
        <v>777</v>
      </c>
      <c r="D23" s="96" t="n">
        <f aca="false">D16+D18</f>
        <v>6398.687</v>
      </c>
      <c r="E23" s="96" t="n">
        <f aca="false">E16+E18</f>
        <v>6307.765</v>
      </c>
      <c r="F23" s="96" t="n">
        <f aca="false">F16+F18</f>
        <v>6492.091</v>
      </c>
      <c r="G23" s="96" t="n">
        <f aca="false">G16+G18</f>
        <v>6801.693</v>
      </c>
      <c r="H23" s="96" t="n">
        <f aca="false">H16+H18</f>
        <v>11806.119</v>
      </c>
      <c r="I23" s="96" t="n">
        <f aca="false">I16+I18</f>
        <v>12446.59</v>
      </c>
      <c r="J23" s="96" t="n">
        <f aca="false">J16+J18</f>
        <v>13621.53</v>
      </c>
      <c r="K23" s="96" t="n">
        <f aca="false">K16+K18</f>
        <v>14058.925</v>
      </c>
      <c r="L23" s="96" t="n">
        <f aca="false">L16+L18</f>
        <v>13100.49</v>
      </c>
      <c r="M23" s="96" t="n">
        <f aca="false">M16+M18</f>
        <v>14606.176</v>
      </c>
    </row>
    <row r="24" customFormat="false" ht="15" hidden="false" customHeight="false" outlineLevel="0" collapsed="false">
      <c r="B24" s="19" t="s">
        <v>778</v>
      </c>
      <c r="D24" s="90" t="n">
        <f aca="false">D23-D5</f>
        <v>6270.34</v>
      </c>
      <c r="E24" s="90" t="n">
        <f aca="false">E23-E5</f>
        <v>6131.575</v>
      </c>
      <c r="F24" s="90" t="n">
        <f aca="false">F23-F5</f>
        <v>6328.24</v>
      </c>
      <c r="G24" s="90" t="n">
        <f aca="false">G23-G5</f>
        <v>6548.817</v>
      </c>
      <c r="H24" s="90" t="n">
        <f aca="false">H23-H5</f>
        <v>8505.637</v>
      </c>
      <c r="I24" s="90" t="n">
        <f aca="false">I23-I5</f>
        <v>10939.943</v>
      </c>
      <c r="J24" s="90" t="n">
        <f aca="false">J23-J5</f>
        <v>12674.543</v>
      </c>
      <c r="K24" s="90" t="n">
        <f aca="false">K23-K5</f>
        <v>13656.51</v>
      </c>
      <c r="L24" s="90" t="n">
        <f aca="false">L23-L5</f>
        <v>12909.725</v>
      </c>
      <c r="M24" s="90" t="n">
        <f aca="false">M23-M5</f>
        <v>14396.283</v>
      </c>
    </row>
    <row r="25" customFormat="false" ht="15" hidden="false" customHeight="false" outlineLevel="0" collapsed="false">
      <c r="B25" s="9" t="s">
        <v>320</v>
      </c>
      <c r="D25" s="99" t="n">
        <f aca="false">D24/'Income (A)'!D12</f>
        <v>4.61747372343348</v>
      </c>
      <c r="E25" s="99" t="n">
        <f aca="false">E24/'Income (A)'!E12</f>
        <v>3.93358314472381</v>
      </c>
      <c r="F25" s="99" t="n">
        <f aca="false">F24/'Income (A)'!F12</f>
        <v>3.55494935456635</v>
      </c>
      <c r="G25" s="99" t="n">
        <f aca="false">G24/'Income (A)'!G12</f>
        <v>3.58983864734564</v>
      </c>
      <c r="H25" s="99" t="n">
        <f aca="false">H24/'Income (A)'!H12</f>
        <v>-3.07473967888457</v>
      </c>
      <c r="I25" s="99" t="n">
        <f aca="false">I24/'Income (A)'!I12</f>
        <v>-5.90868229757122</v>
      </c>
      <c r="J25" s="99" t="n">
        <f aca="false">J24/'Income (A)'!J12</f>
        <v>-15.7951811433008</v>
      </c>
      <c r="K25" s="99" t="n">
        <f aca="false">K24/'Income (A)'!K12</f>
        <v>7.85091972941323</v>
      </c>
      <c r="L25" s="99" t="n">
        <f aca="false">L24/'Income (A)'!L12</f>
        <v>5.47916557024431</v>
      </c>
      <c r="M25" s="99" t="n">
        <f aca="false">M24/'Income (A)'!M12</f>
        <v>5.45391633577977</v>
      </c>
    </row>
    <row r="26" customFormat="false" ht="15" hidden="false" customHeight="false" outlineLevel="0" collapsed="false">
      <c r="B26" s="9" t="s">
        <v>779</v>
      </c>
      <c r="D26" s="11" t="n">
        <f aca="false">D15/'Income (A)'!D5</f>
        <v>0.24062129437011</v>
      </c>
      <c r="E26" s="11" t="n">
        <f aca="false">E15/'Income (A)'!E5</f>
        <v>0.241559623251655</v>
      </c>
      <c r="F26" s="11" t="n">
        <f aca="false">F15/'Income (A)'!F5</f>
        <v>0.263119049876089</v>
      </c>
      <c r="G26" s="11" t="n">
        <f aca="false">G15/'Income (A)'!G5</f>
        <v>0.302517216577927</v>
      </c>
      <c r="H26" s="11" t="n">
        <f aca="false">H15/'Income (A)'!H5</f>
        <v>0.867113886310579</v>
      </c>
      <c r="I26" s="11" t="n">
        <f aca="false">I15/'Income (A)'!I5</f>
        <v>2.40952119335912</v>
      </c>
      <c r="J26" s="11" t="n">
        <f aca="false">J15/'Income (A)'!J5</f>
        <v>0.519538746758716</v>
      </c>
      <c r="K26" s="11" t="n">
        <f aca="false">K15/'Income (A)'!K5</f>
        <v>0.357975813586179</v>
      </c>
      <c r="L26" s="11" t="n">
        <f aca="false">L15/'Income (A)'!L5</f>
        <v>0.327645395384282</v>
      </c>
      <c r="M26" s="11" t="n">
        <f aca="false">M15/'Income (A)'!M5</f>
        <v>0.325674183462236</v>
      </c>
    </row>
    <row r="28" customFormat="false" ht="15" hidden="false" customHeight="false" outlineLevel="0" collapsed="false">
      <c r="B28" s="9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409"/>
  <sheetViews>
    <sheetView showFormulas="false" showGridLines="fals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H187" activeCellId="0" sqref="H187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6" style="0" width="13"/>
    <col collapsed="false" customWidth="true" hidden="false" outlineLevel="0" max="11" min="10" style="0" width="12"/>
    <col collapsed="false" customWidth="true" hidden="false" outlineLevel="0" max="17" min="12" style="0" width="11"/>
  </cols>
  <sheetData>
    <row r="2" customFormat="false" ht="15" hidden="false" customHeight="false" outlineLevel="0" collapsed="false">
      <c r="B2" s="20" t="s">
        <v>781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5" hidden="false" customHeight="false" outlineLevel="0" collapsed="false">
      <c r="B3" s="9" t="s">
        <v>782</v>
      </c>
    </row>
    <row r="4" customFormat="false" ht="15" hidden="false" customHeight="false" outlineLevel="0" collapsed="false">
      <c r="B4" s="9" t="s">
        <v>783</v>
      </c>
    </row>
    <row r="6" customFormat="false" ht="15" hidden="false" customHeight="false" outlineLevel="0" collapsed="false">
      <c r="B6" s="4" t="s">
        <v>784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5" hidden="false" customHeight="false" outlineLevel="0" collapsed="false">
      <c r="B7" s="4" t="s">
        <v>785</v>
      </c>
      <c r="C7" s="4" t="s">
        <v>786</v>
      </c>
      <c r="D7" s="4" t="s">
        <v>787</v>
      </c>
      <c r="E7" s="75" t="s">
        <v>788</v>
      </c>
      <c r="F7" s="75" t="s">
        <v>789</v>
      </c>
      <c r="G7" s="75" t="s">
        <v>790</v>
      </c>
      <c r="H7" s="75" t="s">
        <v>791</v>
      </c>
      <c r="I7" s="75" t="s">
        <v>792</v>
      </c>
      <c r="J7" s="75" t="s">
        <v>793</v>
      </c>
    </row>
    <row r="8" customFormat="false" ht="15" hidden="false" customHeight="false" outlineLevel="0" collapsed="false">
      <c r="B8" s="9" t="s">
        <v>531</v>
      </c>
      <c r="C8" s="9" t="s">
        <v>794</v>
      </c>
      <c r="D8" s="9" t="s">
        <v>404</v>
      </c>
      <c r="E8" s="116" t="n">
        <v>59</v>
      </c>
      <c r="F8" s="142" t="n">
        <v>-0.36</v>
      </c>
      <c r="G8" s="142" t="n">
        <v>-0.336101694915254</v>
      </c>
      <c r="H8" s="142" t="n">
        <v>0.796610169491525</v>
      </c>
      <c r="I8" s="142" t="n">
        <v>0.661016949152542</v>
      </c>
      <c r="J8" s="143" t="n">
        <v>67</v>
      </c>
    </row>
    <row r="9" customFormat="false" ht="15" hidden="false" customHeight="false" outlineLevel="0" collapsed="false">
      <c r="B9" s="9" t="s">
        <v>531</v>
      </c>
      <c r="C9" s="9" t="s">
        <v>794</v>
      </c>
      <c r="D9" s="9" t="s">
        <v>405</v>
      </c>
      <c r="E9" s="116" t="n">
        <v>44</v>
      </c>
      <c r="F9" s="142" t="n">
        <v>-0.145</v>
      </c>
      <c r="G9" s="142" t="n">
        <v>-0.195</v>
      </c>
      <c r="H9" s="142" t="n">
        <v>0.454545454545455</v>
      </c>
      <c r="I9" s="142" t="n">
        <v>0.659090909090909</v>
      </c>
      <c r="J9" s="143" t="n">
        <v>117</v>
      </c>
    </row>
    <row r="10" customFormat="false" ht="15" hidden="false" customHeight="false" outlineLevel="0" collapsed="false">
      <c r="B10" s="9" t="s">
        <v>531</v>
      </c>
      <c r="C10" s="9" t="s">
        <v>794</v>
      </c>
      <c r="D10" s="9" t="s">
        <v>406</v>
      </c>
      <c r="E10" s="116" t="n">
        <v>39</v>
      </c>
      <c r="F10" s="142" t="n">
        <v>-0.02</v>
      </c>
      <c r="G10" s="142" t="n">
        <v>-0.0412820512820513</v>
      </c>
      <c r="H10" s="142" t="n">
        <v>0</v>
      </c>
      <c r="I10" s="142" t="n">
        <v>0.820512820512821</v>
      </c>
      <c r="J10" s="143" t="n">
        <v>129</v>
      </c>
    </row>
    <row r="11" customFormat="false" ht="15" hidden="false" customHeight="false" outlineLevel="0" collapsed="false">
      <c r="B11" s="9" t="s">
        <v>531</v>
      </c>
      <c r="C11" s="9" t="s">
        <v>794</v>
      </c>
      <c r="D11" s="9" t="s">
        <v>795</v>
      </c>
      <c r="E11" s="116" t="n">
        <v>19</v>
      </c>
      <c r="F11" s="142" t="n">
        <v>0</v>
      </c>
      <c r="G11" s="142" t="n">
        <v>-0.0194736842105263</v>
      </c>
      <c r="H11" s="142" t="n">
        <v>0</v>
      </c>
      <c r="I11" s="142" t="n">
        <v>0.736842105263158</v>
      </c>
      <c r="J11" s="143" t="n">
        <v>120</v>
      </c>
    </row>
    <row r="12" customFormat="false" ht="15" hidden="false" customHeight="false" outlineLevel="0" collapsed="false">
      <c r="B12" s="9" t="s">
        <v>531</v>
      </c>
      <c r="C12" s="9" t="s">
        <v>796</v>
      </c>
      <c r="D12" s="9" t="s">
        <v>404</v>
      </c>
      <c r="E12" s="116" t="n">
        <v>8</v>
      </c>
      <c r="F12" s="142" t="n">
        <v>-0.03</v>
      </c>
      <c r="G12" s="142" t="n">
        <v>-0.095</v>
      </c>
      <c r="H12" s="142" t="n">
        <v>0.25</v>
      </c>
      <c r="I12" s="142" t="n">
        <v>0.25</v>
      </c>
      <c r="J12" s="143" t="n">
        <v>126.5</v>
      </c>
    </row>
    <row r="13" customFormat="false" ht="15" hidden="false" customHeight="false" outlineLevel="0" collapsed="false">
      <c r="B13" s="9" t="s">
        <v>531</v>
      </c>
      <c r="C13" s="9" t="s">
        <v>796</v>
      </c>
      <c r="D13" s="9" t="s">
        <v>405</v>
      </c>
      <c r="E13" s="116" t="n">
        <v>43</v>
      </c>
      <c r="F13" s="142" t="n">
        <v>-0.02</v>
      </c>
      <c r="G13" s="142" t="n">
        <v>-0.0279069767441861</v>
      </c>
      <c r="H13" s="142" t="n">
        <v>0</v>
      </c>
      <c r="I13" s="142" t="n">
        <v>0.441860465116279</v>
      </c>
      <c r="J13" s="143" t="n">
        <v>237</v>
      </c>
    </row>
    <row r="14" customFormat="false" ht="15" hidden="false" customHeight="false" outlineLevel="0" collapsed="false">
      <c r="B14" s="9" t="s">
        <v>531</v>
      </c>
      <c r="C14" s="9" t="s">
        <v>796</v>
      </c>
      <c r="D14" s="9" t="s">
        <v>406</v>
      </c>
      <c r="E14" s="116" t="n">
        <v>49</v>
      </c>
      <c r="F14" s="142" t="n">
        <v>0</v>
      </c>
      <c r="G14" s="142" t="n">
        <v>-0.0246938775510204</v>
      </c>
      <c r="H14" s="142" t="n">
        <v>0</v>
      </c>
      <c r="I14" s="142" t="n">
        <v>0.408163265306123</v>
      </c>
      <c r="J14" s="143" t="n">
        <v>265</v>
      </c>
    </row>
    <row r="15" customFormat="false" ht="15" hidden="false" customHeight="false" outlineLevel="0" collapsed="false">
      <c r="B15" s="9" t="s">
        <v>531</v>
      </c>
      <c r="C15" s="9" t="s">
        <v>797</v>
      </c>
      <c r="D15" s="9" t="s">
        <v>405</v>
      </c>
      <c r="E15" s="116" t="n">
        <v>12</v>
      </c>
      <c r="F15" s="142" t="n">
        <v>-0.075</v>
      </c>
      <c r="G15" s="142" t="n">
        <v>-0.114166666666667</v>
      </c>
      <c r="H15" s="142" t="n">
        <v>0.333333333333333</v>
      </c>
      <c r="I15" s="142" t="n">
        <v>0.75</v>
      </c>
      <c r="J15" s="143" t="n">
        <v>152</v>
      </c>
    </row>
    <row r="16" customFormat="false" ht="15" hidden="false" customHeight="false" outlineLevel="0" collapsed="false">
      <c r="B16" s="9" t="s">
        <v>531</v>
      </c>
      <c r="C16" s="9" t="s">
        <v>797</v>
      </c>
      <c r="D16" s="9" t="s">
        <v>406</v>
      </c>
      <c r="E16" s="116" t="n">
        <v>7</v>
      </c>
      <c r="F16" s="142" t="n">
        <v>0</v>
      </c>
      <c r="G16" s="142" t="n">
        <v>-0.0828571428571429</v>
      </c>
      <c r="H16" s="142" t="n">
        <v>0.142857142857143</v>
      </c>
      <c r="I16" s="142" t="n">
        <v>0.428571428571429</v>
      </c>
      <c r="J16" s="143" t="n">
        <v>168</v>
      </c>
    </row>
    <row r="17" customFormat="false" ht="15" hidden="false" customHeight="false" outlineLevel="0" collapsed="false">
      <c r="B17" s="9" t="s">
        <v>531</v>
      </c>
      <c r="C17" s="9" t="s">
        <v>798</v>
      </c>
      <c r="D17" s="9" t="s">
        <v>404</v>
      </c>
      <c r="E17" s="116" t="n">
        <v>15</v>
      </c>
      <c r="F17" s="142" t="n">
        <v>-0.19</v>
      </c>
      <c r="G17" s="142" t="n">
        <v>-0.213333333333333</v>
      </c>
      <c r="H17" s="142" t="n">
        <v>0.466666666666667</v>
      </c>
      <c r="I17" s="142" t="n">
        <v>0.266666666666667</v>
      </c>
      <c r="J17" s="143" t="n">
        <v>164</v>
      </c>
    </row>
    <row r="18" customFormat="false" ht="15" hidden="false" customHeight="false" outlineLevel="0" collapsed="false">
      <c r="B18" s="9" t="s">
        <v>531</v>
      </c>
      <c r="C18" s="9" t="s">
        <v>798</v>
      </c>
      <c r="D18" s="9" t="s">
        <v>405</v>
      </c>
      <c r="E18" s="116" t="n">
        <v>23</v>
      </c>
      <c r="F18" s="142" t="n">
        <v>-0.02</v>
      </c>
      <c r="G18" s="142" t="n">
        <v>-0.0491304347826087</v>
      </c>
      <c r="H18" s="142" t="n">
        <v>0</v>
      </c>
      <c r="I18" s="142" t="n">
        <v>0.608695652173913</v>
      </c>
      <c r="J18" s="143" t="n">
        <v>183</v>
      </c>
    </row>
    <row r="19" customFormat="false" ht="15" hidden="false" customHeight="false" outlineLevel="0" collapsed="false">
      <c r="B19" s="9" t="s">
        <v>531</v>
      </c>
      <c r="C19" s="9" t="s">
        <v>798</v>
      </c>
      <c r="D19" s="9" t="s">
        <v>406</v>
      </c>
      <c r="E19" s="116" t="n">
        <v>24</v>
      </c>
      <c r="F19" s="142" t="n">
        <v>-0.01</v>
      </c>
      <c r="G19" s="142" t="n">
        <v>-0.0154166666666667</v>
      </c>
      <c r="H19" s="142" t="n">
        <v>0</v>
      </c>
      <c r="I19" s="142" t="n">
        <v>0.625</v>
      </c>
      <c r="J19" s="143" t="n">
        <v>197.5</v>
      </c>
    </row>
    <row r="20" customFormat="false" ht="15" hidden="false" customHeight="false" outlineLevel="0" collapsed="false">
      <c r="B20" s="9" t="s">
        <v>531</v>
      </c>
      <c r="C20" s="9" t="s">
        <v>798</v>
      </c>
      <c r="D20" s="9" t="s">
        <v>795</v>
      </c>
      <c r="E20" s="116" t="n">
        <v>6</v>
      </c>
      <c r="F20" s="142" t="n">
        <v>0</v>
      </c>
      <c r="G20" s="142" t="n">
        <v>-0.00833333333333333</v>
      </c>
      <c r="H20" s="142" t="n">
        <v>0</v>
      </c>
      <c r="I20" s="142" t="n">
        <v>0.666666666666667</v>
      </c>
      <c r="J20" s="143" t="n">
        <v>213</v>
      </c>
    </row>
    <row r="21" customFormat="false" ht="15" hidden="false" customHeight="false" outlineLevel="0" collapsed="false">
      <c r="B21" s="9" t="s">
        <v>799</v>
      </c>
      <c r="C21" s="9" t="s">
        <v>794</v>
      </c>
      <c r="D21" s="9" t="s">
        <v>404</v>
      </c>
      <c r="E21" s="116" t="n">
        <v>122</v>
      </c>
      <c r="F21" s="142" t="n">
        <v>-0.02</v>
      </c>
      <c r="G21" s="142" t="n">
        <v>-0.0562295081967213</v>
      </c>
      <c r="H21" s="142" t="n">
        <v>0.0655737704918033</v>
      </c>
      <c r="I21" s="142" t="n">
        <v>0.221311475409836</v>
      </c>
      <c r="J21" s="143" t="n">
        <v>110</v>
      </c>
    </row>
    <row r="22" customFormat="false" ht="15" hidden="false" customHeight="false" outlineLevel="0" collapsed="false">
      <c r="B22" s="9" t="s">
        <v>799</v>
      </c>
      <c r="C22" s="9" t="s">
        <v>794</v>
      </c>
      <c r="D22" s="9" t="s">
        <v>405</v>
      </c>
      <c r="E22" s="116" t="n">
        <v>99</v>
      </c>
      <c r="F22" s="142" t="n">
        <v>-0.01</v>
      </c>
      <c r="G22" s="142" t="n">
        <v>-0.0432323232323232</v>
      </c>
      <c r="H22" s="142" t="n">
        <v>0.0303030303030303</v>
      </c>
      <c r="I22" s="142" t="n">
        <v>0.272727272727273</v>
      </c>
      <c r="J22" s="143" t="n">
        <v>113</v>
      </c>
    </row>
    <row r="23" customFormat="false" ht="15" hidden="false" customHeight="false" outlineLevel="0" collapsed="false">
      <c r="B23" s="9" t="s">
        <v>799</v>
      </c>
      <c r="C23" s="9" t="s">
        <v>794</v>
      </c>
      <c r="D23" s="9" t="s">
        <v>406</v>
      </c>
      <c r="E23" s="116" t="n">
        <v>114</v>
      </c>
      <c r="F23" s="142" t="n">
        <v>0</v>
      </c>
      <c r="G23" s="142" t="n">
        <v>-0.0162280701754386</v>
      </c>
      <c r="H23" s="142" t="n">
        <v>0</v>
      </c>
      <c r="I23" s="142" t="n">
        <v>0.710526315789474</v>
      </c>
      <c r="J23" s="143" t="n">
        <v>116</v>
      </c>
    </row>
    <row r="24" customFormat="false" ht="15" hidden="false" customHeight="false" outlineLevel="0" collapsed="false">
      <c r="B24" s="9" t="s">
        <v>799</v>
      </c>
      <c r="C24" s="9" t="s">
        <v>794</v>
      </c>
      <c r="D24" s="9" t="s">
        <v>795</v>
      </c>
      <c r="E24" s="116" t="n">
        <v>43</v>
      </c>
      <c r="F24" s="142" t="n">
        <v>0</v>
      </c>
      <c r="G24" s="142" t="n">
        <v>-0.0118604651162791</v>
      </c>
      <c r="H24" s="142" t="n">
        <v>0</v>
      </c>
      <c r="I24" s="142" t="n">
        <v>0.837209302325581</v>
      </c>
      <c r="J24" s="143" t="n">
        <v>123</v>
      </c>
    </row>
    <row r="25" customFormat="false" ht="15" hidden="false" customHeight="false" outlineLevel="0" collapsed="false">
      <c r="B25" s="9" t="s">
        <v>799</v>
      </c>
      <c r="C25" s="9" t="s">
        <v>796</v>
      </c>
      <c r="D25" s="9" t="s">
        <v>404</v>
      </c>
      <c r="E25" s="116" t="n">
        <v>9</v>
      </c>
      <c r="F25" s="142" t="n">
        <v>-0.02</v>
      </c>
      <c r="G25" s="142" t="n">
        <v>-0.0866666666666667</v>
      </c>
      <c r="H25" s="142" t="n">
        <v>0.222222222222222</v>
      </c>
      <c r="I25" s="142" t="n">
        <v>0.222222222222222</v>
      </c>
      <c r="J25" s="143" t="n">
        <v>217</v>
      </c>
    </row>
    <row r="26" customFormat="false" ht="15" hidden="false" customHeight="false" outlineLevel="0" collapsed="false">
      <c r="B26" s="9" t="s">
        <v>799</v>
      </c>
      <c r="C26" s="9" t="s">
        <v>796</v>
      </c>
      <c r="D26" s="9" t="s">
        <v>405</v>
      </c>
      <c r="E26" s="116" t="n">
        <v>29</v>
      </c>
      <c r="F26" s="142" t="n">
        <v>-0.04</v>
      </c>
      <c r="G26" s="142" t="n">
        <v>-0.0479310344827586</v>
      </c>
      <c r="H26" s="142" t="n">
        <v>0</v>
      </c>
      <c r="I26" s="142" t="n">
        <v>0.172413793103448</v>
      </c>
      <c r="J26" s="143" t="n">
        <v>125</v>
      </c>
    </row>
    <row r="27" customFormat="false" ht="15" hidden="false" customHeight="false" outlineLevel="0" collapsed="false">
      <c r="B27" s="9" t="s">
        <v>799</v>
      </c>
      <c r="C27" s="9" t="s">
        <v>796</v>
      </c>
      <c r="D27" s="9" t="s">
        <v>406</v>
      </c>
      <c r="E27" s="116" t="n">
        <v>32</v>
      </c>
      <c r="F27" s="142" t="n">
        <v>-0.03</v>
      </c>
      <c r="G27" s="142" t="n">
        <v>-0.0478125</v>
      </c>
      <c r="H27" s="142" t="n">
        <v>0</v>
      </c>
      <c r="I27" s="142" t="n">
        <v>0.3125</v>
      </c>
      <c r="J27" s="143" t="n">
        <v>124.5</v>
      </c>
    </row>
    <row r="28" customFormat="false" ht="15" hidden="false" customHeight="false" outlineLevel="0" collapsed="false">
      <c r="B28" s="9" t="s">
        <v>799</v>
      </c>
      <c r="C28" s="9" t="s">
        <v>797</v>
      </c>
      <c r="D28" s="9" t="s">
        <v>405</v>
      </c>
      <c r="E28" s="116" t="n">
        <v>10</v>
      </c>
      <c r="F28" s="142" t="n">
        <v>-0.025</v>
      </c>
      <c r="G28" s="142" t="n">
        <v>-0.023</v>
      </c>
      <c r="H28" s="142" t="n">
        <v>0</v>
      </c>
      <c r="I28" s="142" t="n">
        <v>0.1</v>
      </c>
      <c r="J28" s="143" t="n">
        <v>103.5</v>
      </c>
    </row>
    <row r="29" customFormat="false" ht="15" hidden="false" customHeight="false" outlineLevel="0" collapsed="false">
      <c r="B29" s="9" t="s">
        <v>799</v>
      </c>
      <c r="C29" s="9" t="s">
        <v>797</v>
      </c>
      <c r="D29" s="9" t="s">
        <v>406</v>
      </c>
      <c r="E29" s="116" t="n">
        <v>3</v>
      </c>
      <c r="F29" s="142" t="n">
        <v>0</v>
      </c>
      <c r="G29" s="142" t="n">
        <v>-0.0233333333333333</v>
      </c>
      <c r="H29" s="142" t="n">
        <v>0</v>
      </c>
      <c r="I29" s="142" t="n">
        <v>0.333333333333333</v>
      </c>
      <c r="J29" s="143" t="n">
        <v>100</v>
      </c>
    </row>
    <row r="30" customFormat="false" ht="15" hidden="false" customHeight="false" outlineLevel="0" collapsed="false">
      <c r="B30" s="9" t="s">
        <v>799</v>
      </c>
      <c r="C30" s="9" t="s">
        <v>798</v>
      </c>
      <c r="D30" s="9" t="s">
        <v>404</v>
      </c>
      <c r="E30" s="116" t="n">
        <v>36</v>
      </c>
      <c r="F30" s="142" t="n">
        <v>-0.05</v>
      </c>
      <c r="G30" s="142" t="n">
        <v>-0.113055555555556</v>
      </c>
      <c r="H30" s="142" t="n">
        <v>0.25</v>
      </c>
      <c r="I30" s="142" t="n">
        <v>0.361111111111111</v>
      </c>
      <c r="J30" s="143" t="n">
        <v>125.5</v>
      </c>
    </row>
    <row r="31" customFormat="false" ht="15" hidden="false" customHeight="false" outlineLevel="0" collapsed="false">
      <c r="B31" s="9" t="s">
        <v>799</v>
      </c>
      <c r="C31" s="9" t="s">
        <v>798</v>
      </c>
      <c r="D31" s="9" t="s">
        <v>405</v>
      </c>
      <c r="E31" s="116" t="n">
        <v>35</v>
      </c>
      <c r="F31" s="142" t="n">
        <v>0</v>
      </c>
      <c r="G31" s="142" t="n">
        <v>-0.0345714285714286</v>
      </c>
      <c r="H31" s="142" t="n">
        <v>0.0285714285714286</v>
      </c>
      <c r="I31" s="142" t="n">
        <v>0.257142857142857</v>
      </c>
      <c r="J31" s="143" t="n">
        <v>151</v>
      </c>
    </row>
    <row r="32" customFormat="false" ht="15" hidden="false" customHeight="false" outlineLevel="0" collapsed="false">
      <c r="B32" s="9" t="s">
        <v>799</v>
      </c>
      <c r="C32" s="9" t="s">
        <v>798</v>
      </c>
      <c r="D32" s="9" t="s">
        <v>406</v>
      </c>
      <c r="E32" s="116" t="n">
        <v>34</v>
      </c>
      <c r="F32" s="142" t="n">
        <v>0</v>
      </c>
      <c r="G32" s="142" t="n">
        <v>-0.0108823529411765</v>
      </c>
      <c r="H32" s="142" t="n">
        <v>0</v>
      </c>
      <c r="I32" s="142" t="n">
        <v>0.676470588235294</v>
      </c>
      <c r="J32" s="143" t="n">
        <v>137</v>
      </c>
    </row>
    <row r="33" customFormat="false" ht="15" hidden="false" customHeight="false" outlineLevel="0" collapsed="false">
      <c r="B33" s="9" t="s">
        <v>799</v>
      </c>
      <c r="C33" s="9" t="s">
        <v>798</v>
      </c>
      <c r="D33" s="9" t="s">
        <v>795</v>
      </c>
      <c r="E33" s="116" t="n">
        <v>18</v>
      </c>
      <c r="F33" s="142" t="n">
        <v>-0.01</v>
      </c>
      <c r="G33" s="142" t="n">
        <v>-0.0222222222222222</v>
      </c>
      <c r="H33" s="142" t="n">
        <v>0</v>
      </c>
      <c r="I33" s="142" t="n">
        <v>0.833333333333333</v>
      </c>
      <c r="J33" s="143" t="n">
        <v>138.5</v>
      </c>
    </row>
    <row r="34" customFormat="false" ht="15" hidden="false" customHeight="false" outlineLevel="0" collapsed="false">
      <c r="B34" s="9" t="s">
        <v>800</v>
      </c>
      <c r="C34" s="9" t="s">
        <v>794</v>
      </c>
      <c r="D34" s="9" t="s">
        <v>404</v>
      </c>
      <c r="E34" s="116" t="n">
        <v>79</v>
      </c>
      <c r="F34" s="142" t="n">
        <v>-0.04</v>
      </c>
      <c r="G34" s="142" t="n">
        <v>-0.0608860759493671</v>
      </c>
      <c r="H34" s="142" t="n">
        <v>0.0379746835443038</v>
      </c>
      <c r="I34" s="142" t="n">
        <v>0.417721518987342</v>
      </c>
      <c r="J34" s="143" t="n">
        <v>71</v>
      </c>
    </row>
    <row r="35" customFormat="false" ht="15" hidden="false" customHeight="false" outlineLevel="0" collapsed="false">
      <c r="B35" s="9" t="s">
        <v>800</v>
      </c>
      <c r="C35" s="9" t="s">
        <v>794</v>
      </c>
      <c r="D35" s="9" t="s">
        <v>405</v>
      </c>
      <c r="E35" s="116" t="n">
        <v>77</v>
      </c>
      <c r="F35" s="142" t="n">
        <v>0</v>
      </c>
      <c r="G35" s="142" t="n">
        <v>-0.0176623376623377</v>
      </c>
      <c r="H35" s="142" t="n">
        <v>0</v>
      </c>
      <c r="I35" s="142" t="n">
        <v>0.376623376623377</v>
      </c>
      <c r="J35" s="143" t="n">
        <v>99</v>
      </c>
    </row>
    <row r="36" customFormat="false" ht="15" hidden="false" customHeight="false" outlineLevel="0" collapsed="false">
      <c r="B36" s="9" t="s">
        <v>800</v>
      </c>
      <c r="C36" s="9" t="s">
        <v>794</v>
      </c>
      <c r="D36" s="9" t="s">
        <v>406</v>
      </c>
      <c r="E36" s="116" t="n">
        <v>52</v>
      </c>
      <c r="F36" s="142" t="n">
        <v>0</v>
      </c>
      <c r="G36" s="142" t="n">
        <v>-0.0175</v>
      </c>
      <c r="H36" s="142" t="n">
        <v>0.0384615384615385</v>
      </c>
      <c r="I36" s="142" t="n">
        <v>0.384615384615385</v>
      </c>
      <c r="J36" s="143" t="n">
        <v>107.5</v>
      </c>
    </row>
    <row r="37" customFormat="false" ht="15" hidden="false" customHeight="false" outlineLevel="0" collapsed="false">
      <c r="B37" s="9" t="s">
        <v>800</v>
      </c>
      <c r="C37" s="9" t="s">
        <v>794</v>
      </c>
      <c r="D37" s="9" t="s">
        <v>795</v>
      </c>
      <c r="E37" s="116" t="n">
        <v>23</v>
      </c>
      <c r="F37" s="142" t="n">
        <v>0</v>
      </c>
      <c r="G37" s="142" t="n">
        <v>-0.0108695652173913</v>
      </c>
      <c r="H37" s="142" t="n">
        <v>0</v>
      </c>
      <c r="I37" s="142" t="n">
        <v>0.956521739130435</v>
      </c>
      <c r="J37" s="143" t="n">
        <v>95</v>
      </c>
    </row>
    <row r="38" customFormat="false" ht="15" hidden="false" customHeight="false" outlineLevel="0" collapsed="false">
      <c r="B38" s="9" t="s">
        <v>800</v>
      </c>
      <c r="C38" s="9" t="s">
        <v>796</v>
      </c>
      <c r="D38" s="9" t="s">
        <v>405</v>
      </c>
      <c r="E38" s="116" t="n">
        <v>6</v>
      </c>
      <c r="F38" s="142" t="n">
        <v>-0.04</v>
      </c>
      <c r="G38" s="142" t="n">
        <v>-0.0383333333333333</v>
      </c>
      <c r="H38" s="142" t="n">
        <v>0</v>
      </c>
      <c r="I38" s="142" t="n">
        <v>0</v>
      </c>
      <c r="J38" s="143" t="n">
        <v>107.5</v>
      </c>
    </row>
    <row r="39" customFormat="false" ht="15" hidden="false" customHeight="false" outlineLevel="0" collapsed="false">
      <c r="B39" s="9" t="s">
        <v>800</v>
      </c>
      <c r="C39" s="9" t="s">
        <v>796</v>
      </c>
      <c r="D39" s="9" t="s">
        <v>406</v>
      </c>
      <c r="E39" s="116" t="n">
        <v>17</v>
      </c>
      <c r="F39" s="142" t="n">
        <v>0</v>
      </c>
      <c r="G39" s="142" t="n">
        <v>-0.0358823529411765</v>
      </c>
      <c r="H39" s="142" t="n">
        <v>0.0588235294117647</v>
      </c>
      <c r="I39" s="142" t="n">
        <v>0.235294117647059</v>
      </c>
      <c r="J39" s="143" t="n">
        <v>117</v>
      </c>
    </row>
    <row r="40" customFormat="false" ht="15" hidden="false" customHeight="false" outlineLevel="0" collapsed="false">
      <c r="B40" s="9" t="s">
        <v>800</v>
      </c>
      <c r="C40" s="9" t="s">
        <v>797</v>
      </c>
      <c r="D40" s="9" t="s">
        <v>405</v>
      </c>
      <c r="E40" s="116" t="n">
        <v>3</v>
      </c>
      <c r="F40" s="142" t="n">
        <v>0</v>
      </c>
      <c r="G40" s="142" t="n">
        <v>-0.00333333333333333</v>
      </c>
      <c r="H40" s="142" t="n">
        <v>0</v>
      </c>
      <c r="I40" s="142" t="n">
        <v>0</v>
      </c>
      <c r="J40" s="143" t="n">
        <v>108</v>
      </c>
    </row>
    <row r="41" customFormat="false" ht="15" hidden="false" customHeight="false" outlineLevel="0" collapsed="false">
      <c r="B41" s="9" t="s">
        <v>800</v>
      </c>
      <c r="C41" s="9" t="s">
        <v>798</v>
      </c>
      <c r="D41" s="9" t="s">
        <v>404</v>
      </c>
      <c r="E41" s="116" t="n">
        <v>28</v>
      </c>
      <c r="F41" s="142" t="n">
        <v>0</v>
      </c>
      <c r="G41" s="142" t="n">
        <v>-0.0135714285714286</v>
      </c>
      <c r="H41" s="142" t="n">
        <v>0</v>
      </c>
      <c r="I41" s="142" t="n">
        <v>0.0357142857142857</v>
      </c>
      <c r="J41" s="143" t="n">
        <v>107</v>
      </c>
    </row>
    <row r="42" customFormat="false" ht="15" hidden="false" customHeight="false" outlineLevel="0" collapsed="false">
      <c r="B42" s="9" t="s">
        <v>800</v>
      </c>
      <c r="C42" s="9" t="s">
        <v>798</v>
      </c>
      <c r="D42" s="9" t="s">
        <v>405</v>
      </c>
      <c r="E42" s="116" t="n">
        <v>24</v>
      </c>
      <c r="F42" s="142" t="n">
        <v>0</v>
      </c>
      <c r="G42" s="142" t="n">
        <v>-0.00583333333333333</v>
      </c>
      <c r="H42" s="142" t="n">
        <v>0</v>
      </c>
      <c r="I42" s="142" t="n">
        <v>0.0416666666666667</v>
      </c>
      <c r="J42" s="143" t="n">
        <v>103.5</v>
      </c>
    </row>
    <row r="43" customFormat="false" ht="15" hidden="false" customHeight="false" outlineLevel="0" collapsed="false">
      <c r="B43" s="9" t="s">
        <v>800</v>
      </c>
      <c r="C43" s="9" t="s">
        <v>798</v>
      </c>
      <c r="D43" s="9" t="s">
        <v>406</v>
      </c>
      <c r="E43" s="116" t="n">
        <v>25</v>
      </c>
      <c r="F43" s="142" t="n">
        <v>0</v>
      </c>
      <c r="G43" s="142" t="n">
        <v>-0.0104</v>
      </c>
      <c r="H43" s="142" t="n">
        <v>0</v>
      </c>
      <c r="I43" s="142" t="n">
        <v>0.24</v>
      </c>
      <c r="J43" s="143" t="n">
        <v>116</v>
      </c>
    </row>
    <row r="44" customFormat="false" ht="15" hidden="false" customHeight="false" outlineLevel="0" collapsed="false">
      <c r="B44" s="9" t="s">
        <v>800</v>
      </c>
      <c r="C44" s="9" t="s">
        <v>798</v>
      </c>
      <c r="D44" s="9" t="s">
        <v>795</v>
      </c>
      <c r="E44" s="116" t="n">
        <v>15</v>
      </c>
      <c r="F44" s="142" t="n">
        <v>0</v>
      </c>
      <c r="G44" s="142" t="n">
        <v>-0.0113333333333333</v>
      </c>
      <c r="H44" s="142" t="n">
        <v>0</v>
      </c>
      <c r="I44" s="142" t="n">
        <v>0.2</v>
      </c>
      <c r="J44" s="143" t="n">
        <v>120</v>
      </c>
    </row>
    <row r="45" customFormat="false" ht="15" hidden="false" customHeight="false" outlineLevel="0" collapsed="false">
      <c r="B45" s="9" t="s">
        <v>801</v>
      </c>
      <c r="C45" s="9" t="s">
        <v>794</v>
      </c>
      <c r="D45" s="9" t="s">
        <v>404</v>
      </c>
      <c r="E45" s="116" t="n">
        <v>74</v>
      </c>
      <c r="F45" s="142" t="n">
        <v>-0.1</v>
      </c>
      <c r="G45" s="142" t="n">
        <v>-0.0974324324324324</v>
      </c>
      <c r="H45" s="142" t="n">
        <v>0.135135135135135</v>
      </c>
      <c r="I45" s="142" t="n">
        <v>0.432432432432433</v>
      </c>
      <c r="J45" s="143" t="n">
        <v>78</v>
      </c>
    </row>
    <row r="46" customFormat="false" ht="15" hidden="false" customHeight="false" outlineLevel="0" collapsed="false">
      <c r="B46" s="9" t="s">
        <v>801</v>
      </c>
      <c r="C46" s="9" t="s">
        <v>794</v>
      </c>
      <c r="D46" s="9" t="s">
        <v>405</v>
      </c>
      <c r="E46" s="116" t="n">
        <v>29</v>
      </c>
      <c r="F46" s="142" t="n">
        <v>0</v>
      </c>
      <c r="G46" s="142" t="n">
        <v>-0.0268965517241379</v>
      </c>
      <c r="H46" s="142" t="n">
        <v>0</v>
      </c>
      <c r="I46" s="142" t="n">
        <v>0.103448275862069</v>
      </c>
      <c r="J46" s="143" t="n">
        <v>94</v>
      </c>
    </row>
    <row r="47" customFormat="false" ht="15" hidden="false" customHeight="false" outlineLevel="0" collapsed="false">
      <c r="B47" s="9" t="s">
        <v>801</v>
      </c>
      <c r="C47" s="9" t="s">
        <v>794</v>
      </c>
      <c r="D47" s="9" t="s">
        <v>406</v>
      </c>
      <c r="E47" s="116" t="n">
        <v>53</v>
      </c>
      <c r="F47" s="142" t="n">
        <v>0</v>
      </c>
      <c r="G47" s="142" t="n">
        <v>-0.0162264150943396</v>
      </c>
      <c r="H47" s="142" t="n">
        <v>0</v>
      </c>
      <c r="I47" s="142" t="n">
        <v>0.0943396226415094</v>
      </c>
      <c r="J47" s="143" t="n">
        <v>106</v>
      </c>
    </row>
    <row r="48" customFormat="false" ht="15" hidden="false" customHeight="false" outlineLevel="0" collapsed="false">
      <c r="B48" s="9" t="s">
        <v>801</v>
      </c>
      <c r="C48" s="9" t="s">
        <v>794</v>
      </c>
      <c r="D48" s="9" t="s">
        <v>795</v>
      </c>
      <c r="E48" s="116" t="n">
        <v>11</v>
      </c>
      <c r="F48" s="142" t="n">
        <v>0</v>
      </c>
      <c r="G48" s="142" t="n">
        <v>-0.00545454545454545</v>
      </c>
      <c r="H48" s="142" t="n">
        <v>0</v>
      </c>
      <c r="I48" s="142" t="n">
        <v>0.0909090909090909</v>
      </c>
      <c r="J48" s="143" t="n">
        <v>136</v>
      </c>
    </row>
    <row r="49" customFormat="false" ht="15" hidden="false" customHeight="false" outlineLevel="0" collapsed="false">
      <c r="B49" s="9" t="s">
        <v>801</v>
      </c>
      <c r="C49" s="9" t="s">
        <v>796</v>
      </c>
      <c r="D49" s="9" t="s">
        <v>404</v>
      </c>
      <c r="E49" s="116" t="n">
        <v>191</v>
      </c>
      <c r="F49" s="142" t="n">
        <v>-0.05</v>
      </c>
      <c r="G49" s="142" t="n">
        <v>-0.0965968586387435</v>
      </c>
      <c r="H49" s="142" t="n">
        <v>0.193717277486911</v>
      </c>
      <c r="I49" s="142" t="n">
        <v>0.455497382198953</v>
      </c>
      <c r="J49" s="143" t="n">
        <v>97</v>
      </c>
    </row>
    <row r="50" customFormat="false" ht="15" hidden="false" customHeight="false" outlineLevel="0" collapsed="false">
      <c r="B50" s="9" t="s">
        <v>801</v>
      </c>
      <c r="C50" s="9" t="s">
        <v>796</v>
      </c>
      <c r="D50" s="9" t="s">
        <v>405</v>
      </c>
      <c r="E50" s="116" t="n">
        <v>143</v>
      </c>
      <c r="F50" s="142" t="n">
        <v>0</v>
      </c>
      <c r="G50" s="142" t="n">
        <v>-0.0555244755244755</v>
      </c>
      <c r="H50" s="142" t="n">
        <v>0.0909090909090909</v>
      </c>
      <c r="I50" s="142" t="n">
        <v>0.503496503496504</v>
      </c>
      <c r="J50" s="143" t="n">
        <v>117</v>
      </c>
    </row>
    <row r="51" customFormat="false" ht="15" hidden="false" customHeight="false" outlineLevel="0" collapsed="false">
      <c r="B51" s="9" t="s">
        <v>801</v>
      </c>
      <c r="C51" s="9" t="s">
        <v>796</v>
      </c>
      <c r="D51" s="9" t="s">
        <v>406</v>
      </c>
      <c r="E51" s="116" t="n">
        <v>99</v>
      </c>
      <c r="F51" s="142" t="n">
        <v>0</v>
      </c>
      <c r="G51" s="142" t="n">
        <v>-0.0239393939393939</v>
      </c>
      <c r="H51" s="142" t="n">
        <v>0.0505050505050505</v>
      </c>
      <c r="I51" s="142" t="n">
        <v>0.383838383838384</v>
      </c>
      <c r="J51" s="143" t="n">
        <v>112</v>
      </c>
    </row>
    <row r="52" customFormat="false" ht="15" hidden="false" customHeight="false" outlineLevel="0" collapsed="false">
      <c r="B52" s="9" t="s">
        <v>801</v>
      </c>
      <c r="C52" s="9" t="s">
        <v>796</v>
      </c>
      <c r="D52" s="9" t="s">
        <v>795</v>
      </c>
      <c r="E52" s="116" t="n">
        <v>15</v>
      </c>
      <c r="F52" s="142" t="n">
        <v>0</v>
      </c>
      <c r="G52" s="142" t="n">
        <v>-0.002</v>
      </c>
      <c r="H52" s="142" t="n">
        <v>0</v>
      </c>
      <c r="I52" s="142" t="n">
        <v>0.6</v>
      </c>
      <c r="J52" s="143" t="n">
        <v>98</v>
      </c>
    </row>
    <row r="53" customFormat="false" ht="15" hidden="false" customHeight="false" outlineLevel="0" collapsed="false">
      <c r="B53" s="9" t="s">
        <v>801</v>
      </c>
      <c r="C53" s="9" t="s">
        <v>798</v>
      </c>
      <c r="D53" s="9" t="s">
        <v>404</v>
      </c>
      <c r="E53" s="116" t="n">
        <v>40</v>
      </c>
      <c r="F53" s="142" t="n">
        <v>0</v>
      </c>
      <c r="G53" s="142" t="n">
        <v>-0.0235</v>
      </c>
      <c r="H53" s="142" t="n">
        <v>0</v>
      </c>
      <c r="I53" s="142" t="n">
        <v>0.7</v>
      </c>
      <c r="J53" s="143" t="n">
        <v>129.5</v>
      </c>
    </row>
    <row r="54" customFormat="false" ht="15" hidden="false" customHeight="false" outlineLevel="0" collapsed="false">
      <c r="B54" s="9" t="s">
        <v>801</v>
      </c>
      <c r="C54" s="9" t="s">
        <v>798</v>
      </c>
      <c r="D54" s="9" t="s">
        <v>405</v>
      </c>
      <c r="E54" s="116" t="n">
        <v>38</v>
      </c>
      <c r="F54" s="142" t="n">
        <v>0</v>
      </c>
      <c r="G54" s="142" t="n">
        <v>-0.0242105263157895</v>
      </c>
      <c r="H54" s="142" t="n">
        <v>0.0526315789473684</v>
      </c>
      <c r="I54" s="142" t="n">
        <v>0.5</v>
      </c>
      <c r="J54" s="143" t="n">
        <v>130</v>
      </c>
    </row>
    <row r="55" customFormat="false" ht="15" hidden="false" customHeight="false" outlineLevel="0" collapsed="false">
      <c r="B55" s="9" t="s">
        <v>801</v>
      </c>
      <c r="C55" s="9" t="s">
        <v>798</v>
      </c>
      <c r="D55" s="9" t="s">
        <v>406</v>
      </c>
      <c r="E55" s="116" t="n">
        <v>28</v>
      </c>
      <c r="F55" s="142" t="n">
        <v>0</v>
      </c>
      <c r="G55" s="142" t="n">
        <v>-0.0189285714285714</v>
      </c>
      <c r="H55" s="142" t="n">
        <v>0.0357142857142857</v>
      </c>
      <c r="I55" s="142" t="n">
        <v>0.75</v>
      </c>
      <c r="J55" s="143" t="n">
        <v>144</v>
      </c>
    </row>
    <row r="56" customFormat="false" ht="15" hidden="false" customHeight="false" outlineLevel="0" collapsed="false">
      <c r="B56" s="9" t="s">
        <v>801</v>
      </c>
      <c r="C56" s="9" t="s">
        <v>798</v>
      </c>
      <c r="D56" s="9" t="s">
        <v>795</v>
      </c>
      <c r="E56" s="116" t="n">
        <v>21</v>
      </c>
      <c r="F56" s="142" t="n">
        <v>0</v>
      </c>
      <c r="G56" s="142" t="n">
        <v>-0.000476190476190476</v>
      </c>
      <c r="H56" s="142" t="n">
        <v>0</v>
      </c>
      <c r="I56" s="142" t="n">
        <v>0.904761904761905</v>
      </c>
      <c r="J56" s="143" t="n">
        <v>132</v>
      </c>
    </row>
    <row r="57" customFormat="false" ht="15" hidden="false" customHeight="false" outlineLevel="0" collapsed="false">
      <c r="B57" s="9" t="s">
        <v>802</v>
      </c>
      <c r="C57" s="9" t="s">
        <v>794</v>
      </c>
      <c r="D57" s="9" t="s">
        <v>404</v>
      </c>
      <c r="E57" s="116" t="n">
        <v>43</v>
      </c>
      <c r="F57" s="142" t="n">
        <v>0</v>
      </c>
      <c r="G57" s="142" t="n">
        <v>-0.0544186046511628</v>
      </c>
      <c r="H57" s="142" t="n">
        <v>0.0697674418604651</v>
      </c>
      <c r="I57" s="142" t="n">
        <v>0.0232558139534884</v>
      </c>
      <c r="J57" s="143" t="n">
        <v>127</v>
      </c>
    </row>
    <row r="58" customFormat="false" ht="15" hidden="false" customHeight="false" outlineLevel="0" collapsed="false">
      <c r="B58" s="9" t="s">
        <v>802</v>
      </c>
      <c r="C58" s="9" t="s">
        <v>794</v>
      </c>
      <c r="D58" s="9" t="s">
        <v>405</v>
      </c>
      <c r="E58" s="116" t="n">
        <v>28</v>
      </c>
      <c r="F58" s="142" t="n">
        <v>-0.005</v>
      </c>
      <c r="G58" s="142" t="n">
        <v>-0.0467857142857143</v>
      </c>
      <c r="H58" s="142" t="n">
        <v>0.0714285714285714</v>
      </c>
      <c r="I58" s="142" t="n">
        <v>0.0357142857142857</v>
      </c>
      <c r="J58" s="143" t="n">
        <v>126</v>
      </c>
    </row>
    <row r="59" customFormat="false" ht="15" hidden="false" customHeight="false" outlineLevel="0" collapsed="false">
      <c r="B59" s="9" t="s">
        <v>802</v>
      </c>
      <c r="C59" s="9" t="s">
        <v>794</v>
      </c>
      <c r="D59" s="9" t="s">
        <v>406</v>
      </c>
      <c r="E59" s="116" t="n">
        <v>39</v>
      </c>
      <c r="F59" s="142" t="n">
        <v>0</v>
      </c>
      <c r="G59" s="142" t="n">
        <v>-0.0146153846153846</v>
      </c>
      <c r="H59" s="142" t="n">
        <v>0</v>
      </c>
      <c r="I59" s="142" t="n">
        <v>0.0256410256410256</v>
      </c>
      <c r="J59" s="143" t="n">
        <v>126</v>
      </c>
    </row>
    <row r="60" customFormat="false" ht="15" hidden="false" customHeight="false" outlineLevel="0" collapsed="false">
      <c r="B60" s="9" t="s">
        <v>802</v>
      </c>
      <c r="C60" s="9" t="s">
        <v>794</v>
      </c>
      <c r="D60" s="9" t="s">
        <v>795</v>
      </c>
      <c r="E60" s="116" t="n">
        <v>31</v>
      </c>
      <c r="F60" s="142" t="n">
        <v>0</v>
      </c>
      <c r="G60" s="142" t="n">
        <v>-0.00516129032258065</v>
      </c>
      <c r="H60" s="142" t="n">
        <v>0</v>
      </c>
      <c r="I60" s="142" t="n">
        <v>0.129032258064516</v>
      </c>
      <c r="J60" s="143" t="n">
        <v>130</v>
      </c>
    </row>
    <row r="61" customFormat="false" ht="15" hidden="false" customHeight="false" outlineLevel="0" collapsed="false">
      <c r="B61" s="9" t="s">
        <v>802</v>
      </c>
      <c r="C61" s="9" t="s">
        <v>796</v>
      </c>
      <c r="D61" s="9" t="s">
        <v>404</v>
      </c>
      <c r="E61" s="116" t="n">
        <v>12</v>
      </c>
      <c r="F61" s="142" t="n">
        <v>0</v>
      </c>
      <c r="G61" s="142" t="n">
        <v>-0.0591666666666667</v>
      </c>
      <c r="H61" s="142" t="n">
        <v>0.166666666666667</v>
      </c>
      <c r="I61" s="142" t="n">
        <v>0</v>
      </c>
      <c r="J61" s="143" t="n">
        <v>191</v>
      </c>
    </row>
    <row r="62" customFormat="false" ht="15" hidden="false" customHeight="false" outlineLevel="0" collapsed="false">
      <c r="B62" s="9" t="s">
        <v>802</v>
      </c>
      <c r="C62" s="9" t="s">
        <v>796</v>
      </c>
      <c r="D62" s="9" t="s">
        <v>405</v>
      </c>
      <c r="E62" s="116" t="n">
        <v>34</v>
      </c>
      <c r="F62" s="142" t="n">
        <v>-0.085</v>
      </c>
      <c r="G62" s="142" t="n">
        <v>-0.0982352941176471</v>
      </c>
      <c r="H62" s="142" t="n">
        <v>0.176470588235294</v>
      </c>
      <c r="I62" s="142" t="n">
        <v>0.205882352941177</v>
      </c>
      <c r="J62" s="143" t="n">
        <v>168</v>
      </c>
    </row>
    <row r="63" customFormat="false" ht="15" hidden="false" customHeight="false" outlineLevel="0" collapsed="false">
      <c r="B63" s="9" t="s">
        <v>802</v>
      </c>
      <c r="C63" s="9" t="s">
        <v>796</v>
      </c>
      <c r="D63" s="9" t="s">
        <v>406</v>
      </c>
      <c r="E63" s="116" t="n">
        <v>32</v>
      </c>
      <c r="F63" s="142" t="n">
        <v>-0.1</v>
      </c>
      <c r="G63" s="142" t="n">
        <v>-0.125</v>
      </c>
      <c r="H63" s="142" t="n">
        <v>0.28125</v>
      </c>
      <c r="I63" s="142" t="n">
        <v>0.28125</v>
      </c>
      <c r="J63" s="143" t="n">
        <v>172</v>
      </c>
    </row>
    <row r="64" customFormat="false" ht="15" hidden="false" customHeight="false" outlineLevel="0" collapsed="false">
      <c r="B64" s="9" t="s">
        <v>802</v>
      </c>
      <c r="C64" s="9" t="s">
        <v>796</v>
      </c>
      <c r="D64" s="9" t="s">
        <v>795</v>
      </c>
      <c r="E64" s="116" t="n">
        <v>3</v>
      </c>
      <c r="F64" s="142" t="n">
        <v>0</v>
      </c>
      <c r="G64" s="142" t="n">
        <v>0</v>
      </c>
      <c r="H64" s="142" t="n">
        <v>0</v>
      </c>
      <c r="I64" s="142" t="n">
        <v>0</v>
      </c>
      <c r="J64" s="143" t="n">
        <v>178</v>
      </c>
    </row>
    <row r="65" customFormat="false" ht="15" hidden="false" customHeight="false" outlineLevel="0" collapsed="false">
      <c r="B65" s="9" t="s">
        <v>802</v>
      </c>
      <c r="C65" s="9" t="s">
        <v>797</v>
      </c>
      <c r="D65" s="9" t="s">
        <v>405</v>
      </c>
      <c r="E65" s="116" t="n">
        <v>17</v>
      </c>
      <c r="F65" s="142" t="n">
        <v>-0.01</v>
      </c>
      <c r="G65" s="142" t="n">
        <v>-0.0405882352941177</v>
      </c>
      <c r="H65" s="142" t="n">
        <v>0.0588235294117647</v>
      </c>
      <c r="I65" s="142" t="n">
        <v>0</v>
      </c>
      <c r="J65" s="143" t="n">
        <v>176</v>
      </c>
    </row>
    <row r="66" customFormat="false" ht="15" hidden="false" customHeight="false" outlineLevel="0" collapsed="false">
      <c r="B66" s="9" t="s">
        <v>802</v>
      </c>
      <c r="C66" s="9" t="s">
        <v>797</v>
      </c>
      <c r="D66" s="9" t="s">
        <v>406</v>
      </c>
      <c r="E66" s="116" t="n">
        <v>3</v>
      </c>
      <c r="F66" s="142" t="n">
        <v>0</v>
      </c>
      <c r="G66" s="142" t="n">
        <v>-0.0366666666666667</v>
      </c>
      <c r="H66" s="142" t="n">
        <v>0</v>
      </c>
      <c r="I66" s="142" t="n">
        <v>0</v>
      </c>
      <c r="J66" s="143" t="n">
        <v>156</v>
      </c>
    </row>
    <row r="67" customFormat="false" ht="15" hidden="false" customHeight="false" outlineLevel="0" collapsed="false">
      <c r="B67" s="9" t="s">
        <v>802</v>
      </c>
      <c r="C67" s="9" t="s">
        <v>798</v>
      </c>
      <c r="D67" s="9" t="s">
        <v>404</v>
      </c>
      <c r="E67" s="116" t="n">
        <v>19</v>
      </c>
      <c r="F67" s="142" t="n">
        <v>-0.08</v>
      </c>
      <c r="G67" s="142" t="n">
        <v>-0.0873684210526316</v>
      </c>
      <c r="H67" s="142" t="n">
        <v>0.157894736842105</v>
      </c>
      <c r="I67" s="142" t="n">
        <v>0.263157894736842</v>
      </c>
      <c r="J67" s="143" t="n">
        <v>192</v>
      </c>
    </row>
    <row r="68" customFormat="false" ht="15" hidden="false" customHeight="false" outlineLevel="0" collapsed="false">
      <c r="B68" s="9" t="s">
        <v>802</v>
      </c>
      <c r="C68" s="9" t="s">
        <v>798</v>
      </c>
      <c r="D68" s="9" t="s">
        <v>405</v>
      </c>
      <c r="E68" s="116" t="n">
        <v>16</v>
      </c>
      <c r="F68" s="142" t="n">
        <v>-0.015</v>
      </c>
      <c r="G68" s="142" t="n">
        <v>-0.05375</v>
      </c>
      <c r="H68" s="142" t="n">
        <v>0.0625</v>
      </c>
      <c r="I68" s="142" t="n">
        <v>0.375</v>
      </c>
      <c r="J68" s="143" t="n">
        <v>205.5</v>
      </c>
    </row>
    <row r="69" customFormat="false" ht="15" hidden="false" customHeight="false" outlineLevel="0" collapsed="false">
      <c r="B69" s="9" t="s">
        <v>802</v>
      </c>
      <c r="C69" s="9" t="s">
        <v>798</v>
      </c>
      <c r="D69" s="9" t="s">
        <v>406</v>
      </c>
      <c r="E69" s="116" t="n">
        <v>12</v>
      </c>
      <c r="F69" s="142" t="n">
        <v>-0.005</v>
      </c>
      <c r="G69" s="142" t="n">
        <v>-0.0216666666666667</v>
      </c>
      <c r="H69" s="142" t="n">
        <v>0</v>
      </c>
      <c r="I69" s="142" t="n">
        <v>0.833333333333333</v>
      </c>
      <c r="J69" s="143" t="n">
        <v>175.5</v>
      </c>
    </row>
    <row r="70" customFormat="false" ht="15" hidden="false" customHeight="false" outlineLevel="0" collapsed="false">
      <c r="B70" s="9" t="s">
        <v>802</v>
      </c>
      <c r="C70" s="9" t="s">
        <v>798</v>
      </c>
      <c r="D70" s="9" t="s">
        <v>795</v>
      </c>
      <c r="E70" s="116" t="n">
        <v>11</v>
      </c>
      <c r="F70" s="142" t="n">
        <v>-0.01</v>
      </c>
      <c r="G70" s="142" t="n">
        <v>-0.0118181818181818</v>
      </c>
      <c r="H70" s="142" t="n">
        <v>0</v>
      </c>
      <c r="I70" s="142" t="n">
        <v>0.545454545454545</v>
      </c>
      <c r="J70" s="143" t="n">
        <v>189</v>
      </c>
    </row>
    <row r="71" customFormat="false" ht="15" hidden="false" customHeight="false" outlineLevel="0" collapsed="false">
      <c r="B71" s="9" t="s">
        <v>803</v>
      </c>
      <c r="C71" s="9" t="s">
        <v>794</v>
      </c>
      <c r="D71" s="9" t="s">
        <v>404</v>
      </c>
      <c r="E71" s="116" t="n">
        <v>45</v>
      </c>
      <c r="F71" s="142" t="n">
        <v>-0.06</v>
      </c>
      <c r="G71" s="142" t="n">
        <v>-0.128</v>
      </c>
      <c r="H71" s="142" t="n">
        <v>0.333333333333333</v>
      </c>
      <c r="I71" s="142" t="n">
        <v>0.244444444444444</v>
      </c>
      <c r="J71" s="143" t="n">
        <v>87</v>
      </c>
    </row>
    <row r="72" customFormat="false" ht="15" hidden="false" customHeight="false" outlineLevel="0" collapsed="false">
      <c r="B72" s="9" t="s">
        <v>803</v>
      </c>
      <c r="C72" s="9" t="s">
        <v>794</v>
      </c>
      <c r="D72" s="9" t="s">
        <v>405</v>
      </c>
      <c r="E72" s="116" t="n">
        <v>31</v>
      </c>
      <c r="F72" s="142" t="n">
        <v>0</v>
      </c>
      <c r="G72" s="142" t="n">
        <v>-0.0203225806451613</v>
      </c>
      <c r="H72" s="142" t="n">
        <v>0</v>
      </c>
      <c r="I72" s="142" t="n">
        <v>0.032258064516129</v>
      </c>
      <c r="J72" s="143" t="n">
        <v>101</v>
      </c>
    </row>
    <row r="73" customFormat="false" ht="15" hidden="false" customHeight="false" outlineLevel="0" collapsed="false">
      <c r="B73" s="9" t="s">
        <v>803</v>
      </c>
      <c r="C73" s="9" t="s">
        <v>794</v>
      </c>
      <c r="D73" s="9" t="s">
        <v>406</v>
      </c>
      <c r="E73" s="116" t="n">
        <v>44</v>
      </c>
      <c r="F73" s="142" t="n">
        <v>-0.035</v>
      </c>
      <c r="G73" s="142" t="n">
        <v>-0.0465909090909091</v>
      </c>
      <c r="H73" s="142" t="n">
        <v>0.0227272727272727</v>
      </c>
      <c r="I73" s="142" t="n">
        <v>0.295454545454546</v>
      </c>
      <c r="J73" s="143" t="n">
        <v>107.5</v>
      </c>
    </row>
    <row r="74" customFormat="false" ht="15" hidden="false" customHeight="false" outlineLevel="0" collapsed="false">
      <c r="B74" s="9" t="s">
        <v>803</v>
      </c>
      <c r="C74" s="9" t="s">
        <v>794</v>
      </c>
      <c r="D74" s="9" t="s">
        <v>795</v>
      </c>
      <c r="E74" s="116" t="n">
        <v>26</v>
      </c>
      <c r="F74" s="142" t="n">
        <v>0</v>
      </c>
      <c r="G74" s="142" t="n">
        <v>-0.0111538461538462</v>
      </c>
      <c r="H74" s="142" t="n">
        <v>0</v>
      </c>
      <c r="I74" s="142" t="n">
        <v>0.461538461538462</v>
      </c>
      <c r="J74" s="143" t="n">
        <v>110</v>
      </c>
    </row>
    <row r="75" customFormat="false" ht="15" hidden="false" customHeight="false" outlineLevel="0" collapsed="false">
      <c r="B75" s="9" t="s">
        <v>803</v>
      </c>
      <c r="C75" s="9" t="s">
        <v>796</v>
      </c>
      <c r="D75" s="9" t="s">
        <v>405</v>
      </c>
      <c r="E75" s="116" t="n">
        <v>25</v>
      </c>
      <c r="F75" s="142" t="n">
        <v>0</v>
      </c>
      <c r="G75" s="142" t="n">
        <v>-0.0044</v>
      </c>
      <c r="H75" s="142" t="n">
        <v>0</v>
      </c>
      <c r="I75" s="142" t="n">
        <v>0.08</v>
      </c>
      <c r="J75" s="143" t="n">
        <v>177</v>
      </c>
    </row>
    <row r="76" customFormat="false" ht="15" hidden="false" customHeight="false" outlineLevel="0" collapsed="false">
      <c r="B76" s="9" t="s">
        <v>803</v>
      </c>
      <c r="C76" s="9" t="s">
        <v>796</v>
      </c>
      <c r="D76" s="9" t="s">
        <v>406</v>
      </c>
      <c r="E76" s="116" t="n">
        <v>25</v>
      </c>
      <c r="F76" s="142" t="n">
        <v>0</v>
      </c>
      <c r="G76" s="142" t="n">
        <v>-0.0284</v>
      </c>
      <c r="H76" s="142" t="n">
        <v>0</v>
      </c>
      <c r="I76" s="142" t="n">
        <v>0.24</v>
      </c>
      <c r="J76" s="143" t="n">
        <v>170</v>
      </c>
    </row>
    <row r="77" customFormat="false" ht="15" hidden="false" customHeight="false" outlineLevel="0" collapsed="false">
      <c r="B77" s="9" t="s">
        <v>803</v>
      </c>
      <c r="C77" s="9" t="s">
        <v>796</v>
      </c>
      <c r="D77" s="9" t="s">
        <v>795</v>
      </c>
      <c r="E77" s="116" t="n">
        <v>5</v>
      </c>
      <c r="F77" s="142" t="n">
        <v>0</v>
      </c>
      <c r="G77" s="142" t="n">
        <v>0</v>
      </c>
      <c r="H77" s="142" t="n">
        <v>0</v>
      </c>
      <c r="I77" s="142" t="n">
        <v>0.4</v>
      </c>
      <c r="J77" s="143" t="n">
        <v>158</v>
      </c>
    </row>
    <row r="78" customFormat="false" ht="15" hidden="false" customHeight="false" outlineLevel="0" collapsed="false">
      <c r="B78" s="9" t="s">
        <v>803</v>
      </c>
      <c r="C78" s="9" t="s">
        <v>797</v>
      </c>
      <c r="D78" s="9" t="s">
        <v>405</v>
      </c>
      <c r="E78" s="116" t="n">
        <v>70</v>
      </c>
      <c r="F78" s="142" t="n">
        <v>-0.02</v>
      </c>
      <c r="G78" s="142" t="n">
        <v>-0.037</v>
      </c>
      <c r="H78" s="142" t="n">
        <v>0.0285714285714286</v>
      </c>
      <c r="I78" s="142" t="n">
        <v>0.142857142857143</v>
      </c>
      <c r="J78" s="143" t="n">
        <v>145</v>
      </c>
    </row>
    <row r="79" customFormat="false" ht="15" hidden="false" customHeight="false" outlineLevel="0" collapsed="false">
      <c r="B79" s="9" t="s">
        <v>803</v>
      </c>
      <c r="C79" s="9" t="s">
        <v>797</v>
      </c>
      <c r="D79" s="9" t="s">
        <v>406</v>
      </c>
      <c r="E79" s="116" t="n">
        <v>10</v>
      </c>
      <c r="F79" s="142" t="n">
        <v>-0.045</v>
      </c>
      <c r="G79" s="142" t="n">
        <v>-0.054</v>
      </c>
      <c r="H79" s="142" t="n">
        <v>0</v>
      </c>
      <c r="I79" s="142" t="n">
        <v>0.4</v>
      </c>
      <c r="J79" s="143" t="n">
        <v>134</v>
      </c>
    </row>
    <row r="80" customFormat="false" ht="15" hidden="false" customHeight="false" outlineLevel="0" collapsed="false">
      <c r="B80" s="9" t="s">
        <v>803</v>
      </c>
      <c r="C80" s="9" t="s">
        <v>798</v>
      </c>
      <c r="D80" s="9" t="s">
        <v>404</v>
      </c>
      <c r="E80" s="116" t="n">
        <v>19</v>
      </c>
      <c r="F80" s="142" t="n">
        <v>-0.08</v>
      </c>
      <c r="G80" s="142" t="n">
        <v>-0.112631578947368</v>
      </c>
      <c r="H80" s="142" t="n">
        <v>0.263157894736842</v>
      </c>
      <c r="I80" s="142" t="n">
        <v>0.526315789473684</v>
      </c>
      <c r="J80" s="143" t="n">
        <v>109</v>
      </c>
    </row>
    <row r="81" customFormat="false" ht="15" hidden="false" customHeight="false" outlineLevel="0" collapsed="false">
      <c r="B81" s="9" t="s">
        <v>803</v>
      </c>
      <c r="C81" s="9" t="s">
        <v>798</v>
      </c>
      <c r="D81" s="9" t="s">
        <v>405</v>
      </c>
      <c r="E81" s="116" t="n">
        <v>57</v>
      </c>
      <c r="F81" s="142" t="n">
        <v>0</v>
      </c>
      <c r="G81" s="142" t="n">
        <v>-0.0454385964912281</v>
      </c>
      <c r="H81" s="142" t="n">
        <v>0.0701754385964912</v>
      </c>
      <c r="I81" s="142" t="n">
        <v>0.350877192982456</v>
      </c>
      <c r="J81" s="143" t="n">
        <v>146</v>
      </c>
    </row>
    <row r="82" customFormat="false" ht="15" hidden="false" customHeight="false" outlineLevel="0" collapsed="false">
      <c r="B82" s="9" t="s">
        <v>803</v>
      </c>
      <c r="C82" s="9" t="s">
        <v>798</v>
      </c>
      <c r="D82" s="9" t="s">
        <v>406</v>
      </c>
      <c r="E82" s="116" t="n">
        <v>58</v>
      </c>
      <c r="F82" s="142" t="n">
        <v>-0.025</v>
      </c>
      <c r="G82" s="142" t="n">
        <v>-0.0506896551724138</v>
      </c>
      <c r="H82" s="142" t="n">
        <v>0.0172413793103448</v>
      </c>
      <c r="I82" s="142" t="n">
        <v>0.362068965517241</v>
      </c>
      <c r="J82" s="143" t="n">
        <v>139.5</v>
      </c>
    </row>
    <row r="83" customFormat="false" ht="15" hidden="false" customHeight="false" outlineLevel="0" collapsed="false">
      <c r="B83" s="9" t="s">
        <v>803</v>
      </c>
      <c r="C83" s="9" t="s">
        <v>798</v>
      </c>
      <c r="D83" s="9" t="s">
        <v>795</v>
      </c>
      <c r="E83" s="116" t="n">
        <v>25</v>
      </c>
      <c r="F83" s="142" t="n">
        <v>0</v>
      </c>
      <c r="G83" s="142" t="n">
        <v>-0.0124</v>
      </c>
      <c r="H83" s="142" t="n">
        <v>0</v>
      </c>
      <c r="I83" s="142" t="n">
        <v>0.72</v>
      </c>
      <c r="J83" s="143" t="n">
        <v>170</v>
      </c>
    </row>
    <row r="84" customFormat="false" ht="15" hidden="false" customHeight="false" outlineLevel="0" collapsed="false">
      <c r="B84" s="9" t="s">
        <v>804</v>
      </c>
      <c r="C84" s="9" t="s">
        <v>794</v>
      </c>
      <c r="D84" s="9" t="s">
        <v>404</v>
      </c>
      <c r="E84" s="116" t="n">
        <v>26</v>
      </c>
      <c r="F84" s="142" t="n">
        <v>0</v>
      </c>
      <c r="G84" s="142" t="n">
        <v>-0.0311538461538462</v>
      </c>
      <c r="H84" s="142" t="n">
        <v>0</v>
      </c>
      <c r="I84" s="142" t="n">
        <v>0.115384615384615</v>
      </c>
      <c r="J84" s="143" t="n">
        <v>139</v>
      </c>
    </row>
    <row r="85" customFormat="false" ht="15" hidden="false" customHeight="false" outlineLevel="0" collapsed="false">
      <c r="B85" s="9" t="s">
        <v>804</v>
      </c>
      <c r="C85" s="9" t="s">
        <v>794</v>
      </c>
      <c r="D85" s="9" t="s">
        <v>405</v>
      </c>
      <c r="E85" s="116" t="n">
        <v>21</v>
      </c>
      <c r="F85" s="142" t="n">
        <v>0</v>
      </c>
      <c r="G85" s="142" t="n">
        <v>-0.020952380952381</v>
      </c>
      <c r="H85" s="142" t="n">
        <v>0</v>
      </c>
      <c r="I85" s="142" t="n">
        <v>0.428571428571429</v>
      </c>
      <c r="J85" s="143" t="n">
        <v>129</v>
      </c>
    </row>
    <row r="86" customFormat="false" ht="15" hidden="false" customHeight="false" outlineLevel="0" collapsed="false">
      <c r="B86" s="9" t="s">
        <v>804</v>
      </c>
      <c r="C86" s="9" t="s">
        <v>794</v>
      </c>
      <c r="D86" s="9" t="s">
        <v>406</v>
      </c>
      <c r="E86" s="116" t="n">
        <v>16</v>
      </c>
      <c r="F86" s="142" t="n">
        <v>0</v>
      </c>
      <c r="G86" s="142" t="n">
        <v>-0.02</v>
      </c>
      <c r="H86" s="142" t="n">
        <v>0</v>
      </c>
      <c r="I86" s="142" t="n">
        <v>0.375</v>
      </c>
      <c r="J86" s="143" t="n">
        <v>129</v>
      </c>
    </row>
    <row r="87" customFormat="false" ht="15" hidden="false" customHeight="false" outlineLevel="0" collapsed="false">
      <c r="B87" s="9" t="s">
        <v>804</v>
      </c>
      <c r="C87" s="9" t="s">
        <v>794</v>
      </c>
      <c r="D87" s="9" t="s">
        <v>795</v>
      </c>
      <c r="E87" s="116" t="n">
        <v>15</v>
      </c>
      <c r="F87" s="142" t="n">
        <v>0</v>
      </c>
      <c r="G87" s="142" t="n">
        <v>-0.00733333333333333</v>
      </c>
      <c r="H87" s="142" t="n">
        <v>0</v>
      </c>
      <c r="I87" s="142" t="n">
        <v>0.6</v>
      </c>
      <c r="J87" s="143" t="n">
        <v>129</v>
      </c>
    </row>
    <row r="88" customFormat="false" ht="15" hidden="false" customHeight="false" outlineLevel="0" collapsed="false">
      <c r="B88" s="9" t="s">
        <v>804</v>
      </c>
      <c r="C88" s="9" t="s">
        <v>797</v>
      </c>
      <c r="D88" s="9" t="s">
        <v>405</v>
      </c>
      <c r="E88" s="116" t="n">
        <v>3</v>
      </c>
      <c r="F88" s="142" t="n">
        <v>-0.01</v>
      </c>
      <c r="G88" s="142" t="n">
        <v>-0.05</v>
      </c>
      <c r="H88" s="142" t="n">
        <v>0</v>
      </c>
      <c r="I88" s="142" t="n">
        <v>0</v>
      </c>
      <c r="J88" s="143" t="n">
        <v>149</v>
      </c>
    </row>
    <row r="89" customFormat="false" ht="15" hidden="false" customHeight="false" outlineLevel="0" collapsed="false">
      <c r="B89" s="9" t="s">
        <v>571</v>
      </c>
      <c r="C89" s="9" t="s">
        <v>794</v>
      </c>
      <c r="D89" s="9" t="s">
        <v>404</v>
      </c>
      <c r="E89" s="116" t="n">
        <v>9</v>
      </c>
      <c r="F89" s="142" t="n">
        <v>0</v>
      </c>
      <c r="G89" s="142" t="n">
        <v>-0.00111111111111111</v>
      </c>
      <c r="H89" s="142" t="n">
        <v>0</v>
      </c>
      <c r="I89" s="142" t="n">
        <v>0</v>
      </c>
      <c r="J89" s="143" t="n">
        <v>348</v>
      </c>
    </row>
    <row r="90" customFormat="false" ht="15" hidden="false" customHeight="false" outlineLevel="0" collapsed="false">
      <c r="B90" s="9" t="s">
        <v>571</v>
      </c>
      <c r="C90" s="9" t="s">
        <v>794</v>
      </c>
      <c r="D90" s="9" t="s">
        <v>405</v>
      </c>
      <c r="E90" s="116" t="n">
        <v>4</v>
      </c>
      <c r="F90" s="142" t="n">
        <v>0</v>
      </c>
      <c r="G90" s="142" t="n">
        <v>0</v>
      </c>
      <c r="H90" s="142" t="n">
        <v>0</v>
      </c>
      <c r="I90" s="142" t="n">
        <v>0</v>
      </c>
      <c r="J90" s="143" t="n">
        <v>333.5</v>
      </c>
    </row>
    <row r="91" customFormat="false" ht="15" hidden="false" customHeight="false" outlineLevel="0" collapsed="false">
      <c r="B91" s="9" t="s">
        <v>571</v>
      </c>
      <c r="C91" s="9" t="s">
        <v>794</v>
      </c>
      <c r="D91" s="9" t="s">
        <v>406</v>
      </c>
      <c r="E91" s="116" t="n">
        <v>7</v>
      </c>
      <c r="F91" s="142" t="n">
        <v>0</v>
      </c>
      <c r="G91" s="142" t="n">
        <v>0</v>
      </c>
      <c r="H91" s="142" t="n">
        <v>0</v>
      </c>
      <c r="I91" s="142" t="n">
        <v>0.714285714285714</v>
      </c>
      <c r="J91" s="143" t="n">
        <v>314</v>
      </c>
    </row>
    <row r="92" customFormat="false" ht="15" hidden="false" customHeight="false" outlineLevel="0" collapsed="false">
      <c r="B92" s="9" t="s">
        <v>571</v>
      </c>
      <c r="C92" s="9" t="s">
        <v>794</v>
      </c>
      <c r="D92" s="9" t="s">
        <v>795</v>
      </c>
      <c r="E92" s="116" t="n">
        <v>22</v>
      </c>
      <c r="F92" s="142" t="n">
        <v>0</v>
      </c>
      <c r="G92" s="142" t="n">
        <v>0</v>
      </c>
      <c r="H92" s="142" t="n">
        <v>0</v>
      </c>
      <c r="I92" s="142" t="n">
        <v>0.909090909090909</v>
      </c>
      <c r="J92" s="143" t="n">
        <v>479</v>
      </c>
    </row>
    <row r="93" customFormat="false" ht="15" hidden="false" customHeight="false" outlineLevel="0" collapsed="false">
      <c r="B93" s="9" t="s">
        <v>571</v>
      </c>
      <c r="C93" s="9" t="s">
        <v>796</v>
      </c>
      <c r="D93" s="9" t="s">
        <v>404</v>
      </c>
      <c r="E93" s="116" t="n">
        <v>11</v>
      </c>
      <c r="F93" s="142" t="n">
        <v>0</v>
      </c>
      <c r="G93" s="142" t="n">
        <v>-0.0536363636363636</v>
      </c>
      <c r="H93" s="142" t="n">
        <v>0.181818181818182</v>
      </c>
      <c r="I93" s="142" t="n">
        <v>0.0909090909090909</v>
      </c>
      <c r="J93" s="143" t="n">
        <v>400</v>
      </c>
    </row>
    <row r="94" customFormat="false" ht="15" hidden="false" customHeight="false" outlineLevel="0" collapsed="false">
      <c r="B94" s="9" t="s">
        <v>571</v>
      </c>
      <c r="C94" s="9" t="s">
        <v>796</v>
      </c>
      <c r="D94" s="9" t="s">
        <v>405</v>
      </c>
      <c r="E94" s="116" t="n">
        <v>31</v>
      </c>
      <c r="F94" s="142" t="n">
        <v>0</v>
      </c>
      <c r="G94" s="142" t="n">
        <v>-0.0312903225806452</v>
      </c>
      <c r="H94" s="142" t="n">
        <v>0</v>
      </c>
      <c r="I94" s="142" t="n">
        <v>0.258064516129032</v>
      </c>
      <c r="J94" s="143" t="n">
        <v>340</v>
      </c>
    </row>
    <row r="95" customFormat="false" ht="15" hidden="false" customHeight="false" outlineLevel="0" collapsed="false">
      <c r="B95" s="9" t="s">
        <v>571</v>
      </c>
      <c r="C95" s="9" t="s">
        <v>796</v>
      </c>
      <c r="D95" s="9" t="s">
        <v>406</v>
      </c>
      <c r="E95" s="116" t="n">
        <v>44</v>
      </c>
      <c r="F95" s="142" t="n">
        <v>0</v>
      </c>
      <c r="G95" s="142" t="n">
        <v>-0.0195454545454546</v>
      </c>
      <c r="H95" s="142" t="n">
        <v>0</v>
      </c>
      <c r="I95" s="142" t="n">
        <v>0.363636363636364</v>
      </c>
      <c r="J95" s="143" t="n">
        <v>343</v>
      </c>
    </row>
    <row r="96" customFormat="false" ht="15" hidden="false" customHeight="false" outlineLevel="0" collapsed="false">
      <c r="B96" s="9" t="s">
        <v>571</v>
      </c>
      <c r="C96" s="9" t="s">
        <v>796</v>
      </c>
      <c r="D96" s="9" t="s">
        <v>795</v>
      </c>
      <c r="E96" s="116" t="n">
        <v>75</v>
      </c>
      <c r="F96" s="142" t="n">
        <v>0</v>
      </c>
      <c r="G96" s="142" t="n">
        <v>-0.000133333333333333</v>
      </c>
      <c r="H96" s="142" t="n">
        <v>0</v>
      </c>
      <c r="I96" s="142" t="n">
        <v>0.986666666666667</v>
      </c>
      <c r="J96" s="143" t="n">
        <v>429</v>
      </c>
    </row>
    <row r="97" customFormat="false" ht="15" hidden="false" customHeight="false" outlineLevel="0" collapsed="false">
      <c r="B97" s="9" t="s">
        <v>571</v>
      </c>
      <c r="C97" s="9" t="s">
        <v>797</v>
      </c>
      <c r="D97" s="9" t="s">
        <v>405</v>
      </c>
      <c r="E97" s="116" t="n">
        <v>5</v>
      </c>
      <c r="F97" s="142" t="n">
        <v>0</v>
      </c>
      <c r="G97" s="142" t="n">
        <v>-0.048</v>
      </c>
      <c r="H97" s="142" t="n">
        <v>0</v>
      </c>
      <c r="I97" s="142" t="n">
        <v>0</v>
      </c>
      <c r="J97" s="143" t="n">
        <v>313</v>
      </c>
    </row>
    <row r="98" customFormat="false" ht="15" hidden="false" customHeight="false" outlineLevel="0" collapsed="false">
      <c r="B98" s="9" t="s">
        <v>571</v>
      </c>
      <c r="C98" s="9" t="s">
        <v>797</v>
      </c>
      <c r="D98" s="9" t="s">
        <v>406</v>
      </c>
      <c r="E98" s="116" t="n">
        <v>3</v>
      </c>
      <c r="F98" s="142" t="n">
        <v>0</v>
      </c>
      <c r="G98" s="142" t="n">
        <v>-0.00333333333333333</v>
      </c>
      <c r="H98" s="142" t="n">
        <v>0</v>
      </c>
      <c r="I98" s="142" t="n">
        <v>0</v>
      </c>
      <c r="J98" s="143" t="n">
        <v>382</v>
      </c>
    </row>
    <row r="99" customFormat="false" ht="15" hidden="false" customHeight="false" outlineLevel="0" collapsed="false">
      <c r="B99" s="9" t="s">
        <v>571</v>
      </c>
      <c r="C99" s="9" t="s">
        <v>797</v>
      </c>
      <c r="D99" s="9" t="s">
        <v>795</v>
      </c>
      <c r="E99" s="116" t="n">
        <v>5</v>
      </c>
      <c r="F99" s="142" t="n">
        <v>0</v>
      </c>
      <c r="G99" s="142" t="n">
        <v>0</v>
      </c>
      <c r="H99" s="142" t="n">
        <v>0</v>
      </c>
      <c r="I99" s="142" t="n">
        <v>0.8</v>
      </c>
      <c r="J99" s="143" t="n">
        <v>360</v>
      </c>
    </row>
    <row r="100" customFormat="false" ht="15" hidden="false" customHeight="false" outlineLevel="0" collapsed="false">
      <c r="B100" s="9" t="s">
        <v>571</v>
      </c>
      <c r="C100" s="9" t="s">
        <v>798</v>
      </c>
      <c r="D100" s="9" t="s">
        <v>404</v>
      </c>
      <c r="E100" s="116" t="n">
        <v>7</v>
      </c>
      <c r="F100" s="142" t="n">
        <v>0</v>
      </c>
      <c r="G100" s="142" t="n">
        <v>-0.00142857142857143</v>
      </c>
      <c r="H100" s="142" t="n">
        <v>0</v>
      </c>
      <c r="I100" s="142" t="n">
        <v>0.142857142857143</v>
      </c>
      <c r="J100" s="143" t="n">
        <v>363</v>
      </c>
    </row>
    <row r="101" customFormat="false" ht="15" hidden="false" customHeight="false" outlineLevel="0" collapsed="false">
      <c r="B101" s="9" t="s">
        <v>571</v>
      </c>
      <c r="C101" s="9" t="s">
        <v>798</v>
      </c>
      <c r="D101" s="9" t="s">
        <v>405</v>
      </c>
      <c r="E101" s="116" t="n">
        <v>9</v>
      </c>
      <c r="F101" s="142" t="n">
        <v>0</v>
      </c>
      <c r="G101" s="142" t="n">
        <v>-0.00666666666666667</v>
      </c>
      <c r="H101" s="142" t="n">
        <v>0</v>
      </c>
      <c r="I101" s="142" t="n">
        <v>0.333333333333333</v>
      </c>
      <c r="J101" s="143" t="n">
        <v>371</v>
      </c>
    </row>
    <row r="102" customFormat="false" ht="15" hidden="false" customHeight="false" outlineLevel="0" collapsed="false">
      <c r="B102" s="9" t="s">
        <v>571</v>
      </c>
      <c r="C102" s="9" t="s">
        <v>798</v>
      </c>
      <c r="D102" s="9" t="s">
        <v>406</v>
      </c>
      <c r="E102" s="116" t="n">
        <v>9</v>
      </c>
      <c r="F102" s="142" t="n">
        <v>0</v>
      </c>
      <c r="G102" s="142" t="n">
        <v>-0.00333333333333333</v>
      </c>
      <c r="H102" s="142" t="n">
        <v>0</v>
      </c>
      <c r="I102" s="142" t="n">
        <v>0.555555555555556</v>
      </c>
      <c r="J102" s="143" t="n">
        <v>468</v>
      </c>
    </row>
    <row r="103" customFormat="false" ht="15" hidden="false" customHeight="false" outlineLevel="0" collapsed="false">
      <c r="B103" s="9" t="s">
        <v>571</v>
      </c>
      <c r="C103" s="9" t="s">
        <v>798</v>
      </c>
      <c r="D103" s="9" t="s">
        <v>795</v>
      </c>
      <c r="E103" s="116" t="n">
        <v>23</v>
      </c>
      <c r="F103" s="142" t="n">
        <v>0</v>
      </c>
      <c r="G103" s="142" t="n">
        <v>-0.00130434782608696</v>
      </c>
      <c r="H103" s="142" t="n">
        <v>0</v>
      </c>
      <c r="I103" s="142" t="n">
        <v>0.869565217391304</v>
      </c>
      <c r="J103" s="143" t="n">
        <v>364</v>
      </c>
    </row>
    <row r="104" customFormat="false" ht="15" hidden="false" customHeight="false" outlineLevel="0" collapsed="false">
      <c r="B104" s="9" t="s">
        <v>805</v>
      </c>
      <c r="C104" s="9" t="s">
        <v>794</v>
      </c>
      <c r="D104" s="9" t="s">
        <v>404</v>
      </c>
      <c r="E104" s="116" t="n">
        <v>3</v>
      </c>
      <c r="F104" s="142" t="n">
        <v>0</v>
      </c>
      <c r="G104" s="142" t="n">
        <v>0</v>
      </c>
      <c r="H104" s="142" t="n">
        <v>0</v>
      </c>
      <c r="I104" s="142" t="n">
        <v>0</v>
      </c>
      <c r="J104" s="143" t="n">
        <v>845</v>
      </c>
    </row>
    <row r="105" customFormat="false" ht="15" hidden="false" customHeight="false" outlineLevel="0" collapsed="false">
      <c r="B105" s="9" t="s">
        <v>805</v>
      </c>
      <c r="C105" s="9" t="s">
        <v>794</v>
      </c>
      <c r="D105" s="9" t="s">
        <v>406</v>
      </c>
      <c r="E105" s="116" t="n">
        <v>7</v>
      </c>
      <c r="F105" s="142" t="n">
        <v>0</v>
      </c>
      <c r="G105" s="142" t="n">
        <v>-0.0185714285714286</v>
      </c>
      <c r="H105" s="142" t="n">
        <v>0</v>
      </c>
      <c r="I105" s="142" t="n">
        <v>0.285714285714286</v>
      </c>
      <c r="J105" s="143" t="n">
        <v>623</v>
      </c>
    </row>
    <row r="106" customFormat="false" ht="15" hidden="false" customHeight="false" outlineLevel="0" collapsed="false">
      <c r="B106" s="9" t="s">
        <v>805</v>
      </c>
      <c r="C106" s="9" t="s">
        <v>794</v>
      </c>
      <c r="D106" s="9" t="s">
        <v>795</v>
      </c>
      <c r="E106" s="116" t="n">
        <v>21</v>
      </c>
      <c r="F106" s="142" t="n">
        <v>0</v>
      </c>
      <c r="G106" s="142" t="n">
        <v>-0.00523809523809524</v>
      </c>
      <c r="H106" s="142" t="n">
        <v>0</v>
      </c>
      <c r="I106" s="142" t="n">
        <v>0.714285714285714</v>
      </c>
      <c r="J106" s="143" t="n">
        <v>700</v>
      </c>
    </row>
    <row r="107" customFormat="false" ht="15" hidden="false" customHeight="false" outlineLevel="0" collapsed="false">
      <c r="B107" s="9" t="s">
        <v>805</v>
      </c>
      <c r="C107" s="9" t="s">
        <v>796</v>
      </c>
      <c r="D107" s="9" t="s">
        <v>404</v>
      </c>
      <c r="E107" s="116" t="n">
        <v>3</v>
      </c>
      <c r="F107" s="142" t="n">
        <v>0</v>
      </c>
      <c r="G107" s="142" t="n">
        <v>0</v>
      </c>
      <c r="H107" s="142" t="n">
        <v>0</v>
      </c>
      <c r="I107" s="142" t="n">
        <v>0</v>
      </c>
      <c r="J107" s="143" t="n">
        <v>1004</v>
      </c>
    </row>
    <row r="108" customFormat="false" ht="15" hidden="false" customHeight="false" outlineLevel="0" collapsed="false">
      <c r="B108" s="9" t="s">
        <v>805</v>
      </c>
      <c r="C108" s="9" t="s">
        <v>796</v>
      </c>
      <c r="D108" s="9" t="s">
        <v>405</v>
      </c>
      <c r="E108" s="116" t="n">
        <v>18</v>
      </c>
      <c r="F108" s="142" t="n">
        <v>0</v>
      </c>
      <c r="G108" s="142" t="n">
        <v>-0.0138888888888889</v>
      </c>
      <c r="H108" s="142" t="n">
        <v>0</v>
      </c>
      <c r="I108" s="142" t="n">
        <v>0.222222222222222</v>
      </c>
      <c r="J108" s="143" t="n">
        <v>922.5</v>
      </c>
    </row>
    <row r="109" customFormat="false" ht="15" hidden="false" customHeight="false" outlineLevel="0" collapsed="false">
      <c r="B109" s="9" t="s">
        <v>805</v>
      </c>
      <c r="C109" s="9" t="s">
        <v>796</v>
      </c>
      <c r="D109" s="9" t="s">
        <v>406</v>
      </c>
      <c r="E109" s="116" t="n">
        <v>42</v>
      </c>
      <c r="F109" s="142" t="n">
        <v>0</v>
      </c>
      <c r="G109" s="142" t="n">
        <v>-0.00547619047619048</v>
      </c>
      <c r="H109" s="142" t="n">
        <v>0</v>
      </c>
      <c r="I109" s="142" t="n">
        <v>0.238095238095238</v>
      </c>
      <c r="J109" s="143" t="n">
        <v>935</v>
      </c>
    </row>
    <row r="110" customFormat="false" ht="15" hidden="false" customHeight="false" outlineLevel="0" collapsed="false">
      <c r="B110" s="9" t="s">
        <v>805</v>
      </c>
      <c r="C110" s="9" t="s">
        <v>796</v>
      </c>
      <c r="D110" s="9" t="s">
        <v>795</v>
      </c>
      <c r="E110" s="116" t="n">
        <v>72</v>
      </c>
      <c r="F110" s="142" t="n">
        <v>0</v>
      </c>
      <c r="G110" s="142" t="n">
        <v>-0.00125</v>
      </c>
      <c r="H110" s="142" t="n">
        <v>0</v>
      </c>
      <c r="I110" s="142" t="n">
        <v>0.958333333333333</v>
      </c>
      <c r="J110" s="143" t="n">
        <v>912.5</v>
      </c>
    </row>
    <row r="111" customFormat="false" ht="15" hidden="false" customHeight="false" outlineLevel="0" collapsed="false">
      <c r="B111" s="9" t="s">
        <v>805</v>
      </c>
      <c r="C111" s="9" t="s">
        <v>797</v>
      </c>
      <c r="D111" s="9" t="s">
        <v>405</v>
      </c>
      <c r="E111" s="116" t="n">
        <v>3</v>
      </c>
      <c r="F111" s="142" t="n">
        <v>0</v>
      </c>
      <c r="G111" s="142" t="n">
        <v>-0.00333333333333333</v>
      </c>
      <c r="H111" s="142" t="n">
        <v>0</v>
      </c>
      <c r="I111" s="142" t="n">
        <v>0</v>
      </c>
      <c r="J111" s="143" t="n">
        <v>950</v>
      </c>
    </row>
    <row r="112" customFormat="false" ht="15" hidden="false" customHeight="false" outlineLevel="0" collapsed="false">
      <c r="B112" s="9" t="s">
        <v>805</v>
      </c>
      <c r="C112" s="9" t="s">
        <v>798</v>
      </c>
      <c r="D112" s="9" t="s">
        <v>405</v>
      </c>
      <c r="E112" s="116" t="n">
        <v>6</v>
      </c>
      <c r="F112" s="142" t="n">
        <v>0</v>
      </c>
      <c r="G112" s="142" t="n">
        <v>-0.00166666666666667</v>
      </c>
      <c r="H112" s="142" t="n">
        <v>0</v>
      </c>
      <c r="I112" s="142" t="n">
        <v>0</v>
      </c>
      <c r="J112" s="143" t="n">
        <v>963</v>
      </c>
    </row>
    <row r="113" customFormat="false" ht="15" hidden="false" customHeight="false" outlineLevel="0" collapsed="false">
      <c r="B113" s="9" t="s">
        <v>805</v>
      </c>
      <c r="C113" s="9" t="s">
        <v>798</v>
      </c>
      <c r="D113" s="9" t="s">
        <v>406</v>
      </c>
      <c r="E113" s="116" t="n">
        <v>14</v>
      </c>
      <c r="F113" s="142" t="n">
        <v>0</v>
      </c>
      <c r="G113" s="142" t="n">
        <v>-0.00857142857142857</v>
      </c>
      <c r="H113" s="142" t="n">
        <v>0</v>
      </c>
      <c r="I113" s="142" t="n">
        <v>0.0714285714285714</v>
      </c>
      <c r="J113" s="143" t="n">
        <v>758</v>
      </c>
    </row>
    <row r="114" customFormat="false" ht="15" hidden="false" customHeight="false" outlineLevel="0" collapsed="false">
      <c r="B114" s="9" t="s">
        <v>805</v>
      </c>
      <c r="C114" s="9" t="s">
        <v>798</v>
      </c>
      <c r="D114" s="9" t="s">
        <v>795</v>
      </c>
      <c r="E114" s="116" t="n">
        <v>27</v>
      </c>
      <c r="F114" s="142" t="n">
        <v>0</v>
      </c>
      <c r="G114" s="142" t="n">
        <v>-0.00333333333333333</v>
      </c>
      <c r="H114" s="142" t="n">
        <v>0</v>
      </c>
      <c r="I114" s="142" t="n">
        <v>0.777777777777778</v>
      </c>
      <c r="J114" s="143" t="n">
        <v>933</v>
      </c>
    </row>
    <row r="116" customFormat="false" ht="15" hidden="false" customHeight="false" outlineLevel="0" collapsed="false">
      <c r="B116" s="4" t="s">
        <v>806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customFormat="false" ht="15" hidden="false" customHeight="false" outlineLevel="0" collapsed="false">
      <c r="B117" s="4" t="s">
        <v>785</v>
      </c>
      <c r="C117" s="4" t="s">
        <v>787</v>
      </c>
      <c r="D117" s="75" t="s">
        <v>788</v>
      </c>
      <c r="E117" s="75" t="s">
        <v>789</v>
      </c>
      <c r="F117" s="75" t="s">
        <v>791</v>
      </c>
      <c r="G117" s="75" t="s">
        <v>792</v>
      </c>
    </row>
    <row r="118" customFormat="false" ht="15" hidden="false" customHeight="false" outlineLevel="0" collapsed="false">
      <c r="B118" s="9" t="s">
        <v>531</v>
      </c>
      <c r="C118" s="9" t="s">
        <v>404</v>
      </c>
      <c r="D118" s="116" t="n">
        <v>82</v>
      </c>
      <c r="E118" s="142" t="n">
        <v>-0.3</v>
      </c>
      <c r="F118" s="142" t="n">
        <v>0.682926829268293</v>
      </c>
      <c r="G118" s="142" t="n">
        <v>0.548780487804878</v>
      </c>
    </row>
    <row r="119" customFormat="false" ht="15" hidden="false" customHeight="false" outlineLevel="0" collapsed="false">
      <c r="B119" s="9" t="s">
        <v>531</v>
      </c>
      <c r="C119" s="9" t="s">
        <v>405</v>
      </c>
      <c r="D119" s="116" t="n">
        <v>122</v>
      </c>
      <c r="E119" s="142" t="n">
        <v>-0.06</v>
      </c>
      <c r="F119" s="142" t="n">
        <v>0.19672131147541</v>
      </c>
      <c r="G119" s="142" t="n">
        <v>0.581967213114754</v>
      </c>
    </row>
    <row r="120" customFormat="false" ht="15" hidden="false" customHeight="false" outlineLevel="0" collapsed="false">
      <c r="B120" s="9" t="s">
        <v>531</v>
      </c>
      <c r="C120" s="9" t="s">
        <v>406</v>
      </c>
      <c r="D120" s="116" t="n">
        <v>119</v>
      </c>
      <c r="E120" s="142" t="n">
        <v>-0.01</v>
      </c>
      <c r="F120" s="142" t="n">
        <v>0.00840336134453782</v>
      </c>
      <c r="G120" s="142" t="n">
        <v>0.588235294117647</v>
      </c>
    </row>
    <row r="121" customFormat="false" ht="15" hidden="false" customHeight="false" outlineLevel="0" collapsed="false">
      <c r="B121" s="9" t="s">
        <v>531</v>
      </c>
      <c r="C121" s="9" t="s">
        <v>795</v>
      </c>
      <c r="D121" s="116" t="n">
        <v>25</v>
      </c>
      <c r="E121" s="142" t="n">
        <v>0</v>
      </c>
      <c r="F121" s="142" t="n">
        <v>0</v>
      </c>
      <c r="G121" s="142" t="n">
        <v>0.72</v>
      </c>
    </row>
    <row r="122" customFormat="false" ht="15" hidden="false" customHeight="false" outlineLevel="0" collapsed="false">
      <c r="B122" s="9" t="s">
        <v>799</v>
      </c>
      <c r="C122" s="9" t="s">
        <v>404</v>
      </c>
      <c r="D122" s="116" t="n">
        <v>167</v>
      </c>
      <c r="E122" s="142" t="n">
        <v>-0.02</v>
      </c>
      <c r="F122" s="142" t="n">
        <v>0.11377245508982</v>
      </c>
      <c r="G122" s="142" t="n">
        <v>0.251497005988024</v>
      </c>
    </row>
    <row r="123" customFormat="false" ht="15" hidden="false" customHeight="false" outlineLevel="0" collapsed="false">
      <c r="B123" s="9" t="s">
        <v>799</v>
      </c>
      <c r="C123" s="9" t="s">
        <v>405</v>
      </c>
      <c r="D123" s="116" t="n">
        <v>173</v>
      </c>
      <c r="E123" s="142" t="n">
        <v>-0.01</v>
      </c>
      <c r="F123" s="142" t="n">
        <v>0.023121387283237</v>
      </c>
      <c r="G123" s="142" t="n">
        <v>0.242774566473988</v>
      </c>
    </row>
    <row r="124" customFormat="false" ht="15" hidden="false" customHeight="false" outlineLevel="0" collapsed="false">
      <c r="B124" s="9" t="s">
        <v>799</v>
      </c>
      <c r="C124" s="9" t="s">
        <v>406</v>
      </c>
      <c r="D124" s="116" t="n">
        <v>183</v>
      </c>
      <c r="E124" s="142" t="n">
        <v>0</v>
      </c>
      <c r="F124" s="142" t="n">
        <v>0</v>
      </c>
      <c r="G124" s="142" t="n">
        <v>0.628415300546448</v>
      </c>
    </row>
    <row r="125" customFormat="false" ht="15" hidden="false" customHeight="false" outlineLevel="0" collapsed="false">
      <c r="B125" s="9" t="s">
        <v>799</v>
      </c>
      <c r="C125" s="9" t="s">
        <v>795</v>
      </c>
      <c r="D125" s="116" t="n">
        <v>61</v>
      </c>
      <c r="E125" s="142" t="n">
        <v>-0.01</v>
      </c>
      <c r="F125" s="142" t="n">
        <v>0</v>
      </c>
      <c r="G125" s="142" t="n">
        <v>0.836065573770492</v>
      </c>
    </row>
    <row r="126" customFormat="false" ht="15" hidden="false" customHeight="false" outlineLevel="0" collapsed="false">
      <c r="B126" s="9" t="s">
        <v>800</v>
      </c>
      <c r="C126" s="9" t="s">
        <v>404</v>
      </c>
      <c r="D126" s="116" t="n">
        <v>107</v>
      </c>
      <c r="E126" s="142" t="n">
        <v>-0.02</v>
      </c>
      <c r="F126" s="142" t="n">
        <v>0.0280373831775701</v>
      </c>
      <c r="G126" s="142" t="n">
        <v>0.317757009345794</v>
      </c>
    </row>
    <row r="127" customFormat="false" ht="15" hidden="false" customHeight="false" outlineLevel="0" collapsed="false">
      <c r="B127" s="9" t="s">
        <v>800</v>
      </c>
      <c r="C127" s="9" t="s">
        <v>405</v>
      </c>
      <c r="D127" s="116" t="n">
        <v>110</v>
      </c>
      <c r="E127" s="142" t="n">
        <v>0</v>
      </c>
      <c r="F127" s="142" t="n">
        <v>0</v>
      </c>
      <c r="G127" s="142" t="n">
        <v>0.272727272727273</v>
      </c>
    </row>
    <row r="128" customFormat="false" ht="15" hidden="false" customHeight="false" outlineLevel="0" collapsed="false">
      <c r="B128" s="9" t="s">
        <v>800</v>
      </c>
      <c r="C128" s="9" t="s">
        <v>406</v>
      </c>
      <c r="D128" s="116" t="n">
        <v>96</v>
      </c>
      <c r="E128" s="142" t="n">
        <v>0</v>
      </c>
      <c r="F128" s="142" t="n">
        <v>0.03125</v>
      </c>
      <c r="G128" s="142" t="n">
        <v>0.322916666666667</v>
      </c>
    </row>
    <row r="129" customFormat="false" ht="15" hidden="false" customHeight="false" outlineLevel="0" collapsed="false">
      <c r="B129" s="9" t="s">
        <v>800</v>
      </c>
      <c r="C129" s="9" t="s">
        <v>795</v>
      </c>
      <c r="D129" s="116" t="n">
        <v>38</v>
      </c>
      <c r="E129" s="142" t="n">
        <v>0</v>
      </c>
      <c r="F129" s="142" t="n">
        <v>0</v>
      </c>
      <c r="G129" s="142" t="n">
        <v>0.657894736842105</v>
      </c>
    </row>
    <row r="130" customFormat="false" ht="15" hidden="false" customHeight="false" outlineLevel="0" collapsed="false">
      <c r="B130" s="9" t="s">
        <v>801</v>
      </c>
      <c r="C130" s="9" t="s">
        <v>404</v>
      </c>
      <c r="D130" s="116" t="n">
        <v>305</v>
      </c>
      <c r="E130" s="142" t="n">
        <v>-0.05</v>
      </c>
      <c r="F130" s="142" t="n">
        <v>0.154098360655738</v>
      </c>
      <c r="G130" s="142" t="n">
        <v>0.481967213114754</v>
      </c>
    </row>
    <row r="131" customFormat="false" ht="15" hidden="false" customHeight="false" outlineLevel="0" collapsed="false">
      <c r="B131" s="9" t="s">
        <v>801</v>
      </c>
      <c r="C131" s="9" t="s">
        <v>405</v>
      </c>
      <c r="D131" s="116" t="n">
        <v>211</v>
      </c>
      <c r="E131" s="142" t="n">
        <v>0</v>
      </c>
      <c r="F131" s="142" t="n">
        <v>0.0710900473933649</v>
      </c>
      <c r="G131" s="142" t="n">
        <v>0.445497630331754</v>
      </c>
    </row>
    <row r="132" customFormat="false" ht="15" hidden="false" customHeight="false" outlineLevel="0" collapsed="false">
      <c r="B132" s="9" t="s">
        <v>801</v>
      </c>
      <c r="C132" s="9" t="s">
        <v>406</v>
      </c>
      <c r="D132" s="116" t="n">
        <v>180</v>
      </c>
      <c r="E132" s="142" t="n">
        <v>0</v>
      </c>
      <c r="F132" s="142" t="n">
        <v>0.0333333333333333</v>
      </c>
      <c r="G132" s="142" t="n">
        <v>0.355555555555556</v>
      </c>
    </row>
    <row r="133" customFormat="false" ht="15" hidden="false" customHeight="false" outlineLevel="0" collapsed="false">
      <c r="B133" s="9" t="s">
        <v>801</v>
      </c>
      <c r="C133" s="9" t="s">
        <v>795</v>
      </c>
      <c r="D133" s="116" t="n">
        <v>47</v>
      </c>
      <c r="E133" s="142" t="n">
        <v>0</v>
      </c>
      <c r="F133" s="142" t="n">
        <v>0</v>
      </c>
      <c r="G133" s="142" t="n">
        <v>0.617021276595745</v>
      </c>
    </row>
    <row r="134" customFormat="false" ht="15" hidden="false" customHeight="false" outlineLevel="0" collapsed="false">
      <c r="B134" s="9" t="s">
        <v>802</v>
      </c>
      <c r="C134" s="9" t="s">
        <v>404</v>
      </c>
      <c r="D134" s="116" t="n">
        <v>74</v>
      </c>
      <c r="E134" s="142" t="n">
        <v>-0.01</v>
      </c>
      <c r="F134" s="142" t="n">
        <v>0.108108108108108</v>
      </c>
      <c r="G134" s="142" t="n">
        <v>0.0810810810810811</v>
      </c>
    </row>
    <row r="135" customFormat="false" ht="15" hidden="false" customHeight="false" outlineLevel="0" collapsed="false">
      <c r="B135" s="9" t="s">
        <v>802</v>
      </c>
      <c r="C135" s="9" t="s">
        <v>405</v>
      </c>
      <c r="D135" s="116" t="n">
        <v>95</v>
      </c>
      <c r="E135" s="142" t="n">
        <v>-0.03</v>
      </c>
      <c r="F135" s="142" t="n">
        <v>0.105263157894737</v>
      </c>
      <c r="G135" s="142" t="n">
        <v>0.147368421052632</v>
      </c>
    </row>
    <row r="136" customFormat="false" ht="15" hidden="false" customHeight="false" outlineLevel="0" collapsed="false">
      <c r="B136" s="9" t="s">
        <v>802</v>
      </c>
      <c r="C136" s="9" t="s">
        <v>406</v>
      </c>
      <c r="D136" s="116" t="n">
        <v>86</v>
      </c>
      <c r="E136" s="142" t="n">
        <v>-0.01</v>
      </c>
      <c r="F136" s="142" t="n">
        <v>0.104651162790698</v>
      </c>
      <c r="G136" s="142" t="n">
        <v>0.232558139534884</v>
      </c>
    </row>
    <row r="137" customFormat="false" ht="15" hidden="false" customHeight="false" outlineLevel="0" collapsed="false">
      <c r="B137" s="9" t="s">
        <v>802</v>
      </c>
      <c r="C137" s="9" t="s">
        <v>795</v>
      </c>
      <c r="D137" s="116" t="n">
        <v>45</v>
      </c>
      <c r="E137" s="142" t="n">
        <v>0</v>
      </c>
      <c r="F137" s="142" t="n">
        <v>0</v>
      </c>
      <c r="G137" s="142" t="n">
        <v>0.222222222222222</v>
      </c>
    </row>
    <row r="138" customFormat="false" ht="15" hidden="false" customHeight="false" outlineLevel="0" collapsed="false">
      <c r="B138" s="9" t="s">
        <v>803</v>
      </c>
      <c r="C138" s="9" t="s">
        <v>404</v>
      </c>
      <c r="D138" s="116" t="n">
        <v>68</v>
      </c>
      <c r="E138" s="142" t="n">
        <v>-0.07</v>
      </c>
      <c r="F138" s="142" t="n">
        <v>0.308823529411765</v>
      </c>
      <c r="G138" s="142" t="n">
        <v>0.352941176470588</v>
      </c>
    </row>
    <row r="139" customFormat="false" ht="15" hidden="false" customHeight="false" outlineLevel="0" collapsed="false">
      <c r="B139" s="9" t="s">
        <v>803</v>
      </c>
      <c r="C139" s="9" t="s">
        <v>405</v>
      </c>
      <c r="D139" s="116" t="n">
        <v>183</v>
      </c>
      <c r="E139" s="142" t="n">
        <v>0</v>
      </c>
      <c r="F139" s="142" t="n">
        <v>0.0327868852459016</v>
      </c>
      <c r="G139" s="142" t="n">
        <v>0.180327868852459</v>
      </c>
    </row>
    <row r="140" customFormat="false" ht="15" hidden="false" customHeight="false" outlineLevel="0" collapsed="false">
      <c r="B140" s="9" t="s">
        <v>803</v>
      </c>
      <c r="C140" s="9" t="s">
        <v>406</v>
      </c>
      <c r="D140" s="116" t="n">
        <v>137</v>
      </c>
      <c r="E140" s="142" t="n">
        <v>-0.02</v>
      </c>
      <c r="F140" s="142" t="n">
        <v>0.0145985401459854</v>
      </c>
      <c r="G140" s="142" t="n">
        <v>0.321167883211679</v>
      </c>
    </row>
    <row r="141" customFormat="false" ht="15" hidden="false" customHeight="false" outlineLevel="0" collapsed="false">
      <c r="B141" s="9" t="s">
        <v>803</v>
      </c>
      <c r="C141" s="9" t="s">
        <v>795</v>
      </c>
      <c r="D141" s="116" t="n">
        <v>56</v>
      </c>
      <c r="E141" s="142" t="n">
        <v>0</v>
      </c>
      <c r="F141" s="142" t="n">
        <v>0</v>
      </c>
      <c r="G141" s="142" t="n">
        <v>0.571428571428571</v>
      </c>
    </row>
    <row r="142" customFormat="false" ht="15" hidden="false" customHeight="false" outlineLevel="0" collapsed="false">
      <c r="B142" s="9" t="s">
        <v>804</v>
      </c>
      <c r="C142" s="9" t="s">
        <v>404</v>
      </c>
      <c r="D142" s="116" t="n">
        <v>26</v>
      </c>
      <c r="E142" s="142" t="n">
        <v>0</v>
      </c>
      <c r="F142" s="142" t="n">
        <v>0</v>
      </c>
      <c r="G142" s="142" t="n">
        <v>0.115384615384615</v>
      </c>
    </row>
    <row r="143" customFormat="false" ht="15" hidden="false" customHeight="false" outlineLevel="0" collapsed="false">
      <c r="B143" s="9" t="s">
        <v>804</v>
      </c>
      <c r="C143" s="9" t="s">
        <v>405</v>
      </c>
      <c r="D143" s="116" t="n">
        <v>25</v>
      </c>
      <c r="E143" s="142" t="n">
        <v>0</v>
      </c>
      <c r="F143" s="142" t="n">
        <v>0</v>
      </c>
      <c r="G143" s="142" t="n">
        <v>0.36</v>
      </c>
    </row>
    <row r="144" customFormat="false" ht="15" hidden="false" customHeight="false" outlineLevel="0" collapsed="false">
      <c r="B144" s="9" t="s">
        <v>804</v>
      </c>
      <c r="C144" s="9" t="s">
        <v>406</v>
      </c>
      <c r="D144" s="116" t="n">
        <v>21</v>
      </c>
      <c r="E144" s="142" t="n">
        <v>0</v>
      </c>
      <c r="F144" s="142" t="n">
        <v>0</v>
      </c>
      <c r="G144" s="142" t="n">
        <v>0.333333333333333</v>
      </c>
    </row>
    <row r="145" customFormat="false" ht="15" hidden="false" customHeight="false" outlineLevel="0" collapsed="false">
      <c r="B145" s="9" t="s">
        <v>804</v>
      </c>
      <c r="C145" s="9" t="s">
        <v>795</v>
      </c>
      <c r="D145" s="116" t="n">
        <v>15</v>
      </c>
      <c r="E145" s="142" t="n">
        <v>0</v>
      </c>
      <c r="F145" s="142" t="n">
        <v>0</v>
      </c>
      <c r="G145" s="142" t="n">
        <v>0.6</v>
      </c>
    </row>
    <row r="146" customFormat="false" ht="15" hidden="false" customHeight="false" outlineLevel="0" collapsed="false">
      <c r="B146" s="9" t="s">
        <v>571</v>
      </c>
      <c r="C146" s="9" t="s">
        <v>404</v>
      </c>
      <c r="D146" s="116" t="n">
        <v>27</v>
      </c>
      <c r="E146" s="142" t="n">
        <v>0</v>
      </c>
      <c r="F146" s="142" t="n">
        <v>0.0740740740740741</v>
      </c>
      <c r="G146" s="142" t="n">
        <v>0.0740740740740741</v>
      </c>
    </row>
    <row r="147" customFormat="false" ht="15" hidden="false" customHeight="false" outlineLevel="0" collapsed="false">
      <c r="B147" s="9" t="s">
        <v>571</v>
      </c>
      <c r="C147" s="9" t="s">
        <v>405</v>
      </c>
      <c r="D147" s="116" t="n">
        <v>49</v>
      </c>
      <c r="E147" s="142" t="n">
        <v>0</v>
      </c>
      <c r="F147" s="142" t="n">
        <v>0</v>
      </c>
      <c r="G147" s="142" t="n">
        <v>0.224489795918367</v>
      </c>
    </row>
    <row r="148" customFormat="false" ht="15" hidden="false" customHeight="false" outlineLevel="0" collapsed="false">
      <c r="B148" s="9" t="s">
        <v>571</v>
      </c>
      <c r="C148" s="9" t="s">
        <v>406</v>
      </c>
      <c r="D148" s="116" t="n">
        <v>63</v>
      </c>
      <c r="E148" s="142" t="n">
        <v>0</v>
      </c>
      <c r="F148" s="142" t="n">
        <v>0</v>
      </c>
      <c r="G148" s="142" t="n">
        <v>0.412698412698413</v>
      </c>
    </row>
    <row r="149" customFormat="false" ht="15" hidden="false" customHeight="false" outlineLevel="0" collapsed="false">
      <c r="B149" s="9" t="s">
        <v>571</v>
      </c>
      <c r="C149" s="9" t="s">
        <v>795</v>
      </c>
      <c r="D149" s="116" t="n">
        <v>125</v>
      </c>
      <c r="E149" s="142" t="n">
        <v>0</v>
      </c>
      <c r="F149" s="142" t="n">
        <v>0</v>
      </c>
      <c r="G149" s="142" t="n">
        <v>0.944</v>
      </c>
    </row>
    <row r="150" customFormat="false" ht="15" hidden="false" customHeight="false" outlineLevel="0" collapsed="false">
      <c r="B150" s="9" t="s">
        <v>805</v>
      </c>
      <c r="C150" s="9" t="s">
        <v>404</v>
      </c>
      <c r="D150" s="116" t="n">
        <v>7</v>
      </c>
      <c r="E150" s="142" t="n">
        <v>0</v>
      </c>
      <c r="F150" s="142" t="n">
        <v>0</v>
      </c>
      <c r="G150" s="142" t="n">
        <v>0</v>
      </c>
    </row>
    <row r="151" customFormat="false" ht="15" hidden="false" customHeight="false" outlineLevel="0" collapsed="false">
      <c r="B151" s="9" t="s">
        <v>805</v>
      </c>
      <c r="C151" s="9" t="s">
        <v>405</v>
      </c>
      <c r="D151" s="116" t="n">
        <v>29</v>
      </c>
      <c r="E151" s="142" t="n">
        <v>0</v>
      </c>
      <c r="F151" s="142" t="n">
        <v>0</v>
      </c>
      <c r="G151" s="142" t="n">
        <v>0.137931034482759</v>
      </c>
    </row>
    <row r="152" customFormat="false" ht="15" hidden="false" customHeight="false" outlineLevel="0" collapsed="false">
      <c r="B152" s="9" t="s">
        <v>805</v>
      </c>
      <c r="C152" s="9" t="s">
        <v>406</v>
      </c>
      <c r="D152" s="116" t="n">
        <v>63</v>
      </c>
      <c r="E152" s="142" t="n">
        <v>0</v>
      </c>
      <c r="F152" s="142" t="n">
        <v>0</v>
      </c>
      <c r="G152" s="142" t="n">
        <v>0.206349206349206</v>
      </c>
    </row>
    <row r="153" customFormat="false" ht="15" hidden="false" customHeight="false" outlineLevel="0" collapsed="false">
      <c r="B153" s="9" t="s">
        <v>805</v>
      </c>
      <c r="C153" s="9" t="s">
        <v>795</v>
      </c>
      <c r="D153" s="116" t="n">
        <v>122</v>
      </c>
      <c r="E153" s="142" t="n">
        <v>0</v>
      </c>
      <c r="F153" s="142" t="n">
        <v>0</v>
      </c>
      <c r="G153" s="142" t="n">
        <v>0.877049180327869</v>
      </c>
    </row>
    <row r="155" customFormat="false" ht="15" hidden="false" customHeight="false" outlineLevel="0" collapsed="false">
      <c r="B155" s="4" t="s">
        <v>807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customFormat="false" ht="15" hidden="false" customHeight="false" outlineLevel="0" collapsed="false">
      <c r="B156" s="4" t="s">
        <v>785</v>
      </c>
      <c r="C156" s="4" t="s">
        <v>787</v>
      </c>
      <c r="D156" s="4" t="s">
        <v>808</v>
      </c>
      <c r="E156" s="75" t="s">
        <v>788</v>
      </c>
      <c r="F156" s="75" t="s">
        <v>789</v>
      </c>
      <c r="G156" s="75" t="s">
        <v>791</v>
      </c>
      <c r="H156" s="75" t="s">
        <v>793</v>
      </c>
    </row>
    <row r="157" customFormat="false" ht="15" hidden="false" customHeight="false" outlineLevel="0" collapsed="false">
      <c r="B157" s="9" t="s">
        <v>531</v>
      </c>
      <c r="C157" s="9" t="s">
        <v>404</v>
      </c>
      <c r="D157" s="9" t="s">
        <v>809</v>
      </c>
      <c r="E157" s="116" t="n">
        <v>20</v>
      </c>
      <c r="F157" s="142" t="n">
        <v>-0.4</v>
      </c>
      <c r="G157" s="142" t="n">
        <v>0.85</v>
      </c>
      <c r="H157" s="143" t="n">
        <v>64</v>
      </c>
    </row>
    <row r="158" customFormat="false" ht="15" hidden="false" customHeight="false" outlineLevel="0" collapsed="false">
      <c r="B158" s="9" t="s">
        <v>531</v>
      </c>
      <c r="C158" s="9" t="s">
        <v>404</v>
      </c>
      <c r="D158" s="9" t="s">
        <v>810</v>
      </c>
      <c r="E158" s="116" t="n">
        <v>39</v>
      </c>
      <c r="F158" s="142" t="n">
        <v>-0.34</v>
      </c>
      <c r="G158" s="142" t="n">
        <v>0.769230769230769</v>
      </c>
      <c r="H158" s="143" t="n">
        <v>70</v>
      </c>
    </row>
    <row r="159" customFormat="false" ht="15" hidden="false" customHeight="false" outlineLevel="0" collapsed="false">
      <c r="B159" s="9" t="s">
        <v>799</v>
      </c>
      <c r="C159" s="9" t="s">
        <v>404</v>
      </c>
      <c r="D159" s="9" t="s">
        <v>809</v>
      </c>
      <c r="E159" s="116" t="n">
        <v>41</v>
      </c>
      <c r="F159" s="142" t="n">
        <v>-0.03</v>
      </c>
      <c r="G159" s="142" t="n">
        <v>0.0487804878048781</v>
      </c>
      <c r="H159" s="143" t="n">
        <v>110</v>
      </c>
    </row>
    <row r="160" customFormat="false" ht="15" hidden="false" customHeight="false" outlineLevel="0" collapsed="false">
      <c r="B160" s="9" t="s">
        <v>799</v>
      </c>
      <c r="C160" s="9" t="s">
        <v>404</v>
      </c>
      <c r="D160" s="9" t="s">
        <v>811</v>
      </c>
      <c r="E160" s="116" t="n">
        <v>11</v>
      </c>
      <c r="F160" s="142" t="n">
        <v>-0.03</v>
      </c>
      <c r="G160" s="142" t="n">
        <v>0.0909090909090909</v>
      </c>
      <c r="H160" s="143" t="n">
        <v>80</v>
      </c>
    </row>
    <row r="161" customFormat="false" ht="15" hidden="false" customHeight="false" outlineLevel="0" collapsed="false">
      <c r="B161" s="9" t="s">
        <v>799</v>
      </c>
      <c r="C161" s="9" t="s">
        <v>404</v>
      </c>
      <c r="D161" s="9" t="s">
        <v>810</v>
      </c>
      <c r="E161" s="116" t="n">
        <v>70</v>
      </c>
      <c r="F161" s="142" t="n">
        <v>0</v>
      </c>
      <c r="G161" s="142" t="n">
        <v>0.0714285714285714</v>
      </c>
      <c r="H161" s="143" t="n">
        <v>116</v>
      </c>
    </row>
    <row r="162" customFormat="false" ht="15" hidden="false" customHeight="false" outlineLevel="0" collapsed="false">
      <c r="B162" s="9" t="s">
        <v>800</v>
      </c>
      <c r="C162" s="9" t="s">
        <v>404</v>
      </c>
      <c r="D162" s="9" t="s">
        <v>809</v>
      </c>
      <c r="E162" s="116" t="n">
        <v>25</v>
      </c>
      <c r="F162" s="142" t="n">
        <v>-0.02</v>
      </c>
      <c r="G162" s="142" t="n">
        <v>0.08</v>
      </c>
      <c r="H162" s="143" t="n">
        <v>67</v>
      </c>
    </row>
    <row r="163" customFormat="false" ht="15" hidden="false" customHeight="false" outlineLevel="0" collapsed="false">
      <c r="B163" s="9" t="s">
        <v>800</v>
      </c>
      <c r="C163" s="9" t="s">
        <v>404</v>
      </c>
      <c r="D163" s="9" t="s">
        <v>811</v>
      </c>
      <c r="E163" s="116" t="n">
        <v>19</v>
      </c>
      <c r="F163" s="142" t="n">
        <v>-0.02</v>
      </c>
      <c r="G163" s="142" t="n">
        <v>0.0526315789473684</v>
      </c>
      <c r="H163" s="143" t="n">
        <v>78</v>
      </c>
    </row>
    <row r="164" customFormat="false" ht="15" hidden="false" customHeight="false" outlineLevel="0" collapsed="false">
      <c r="B164" s="9" t="s">
        <v>800</v>
      </c>
      <c r="C164" s="9" t="s">
        <v>404</v>
      </c>
      <c r="D164" s="9" t="s">
        <v>810</v>
      </c>
      <c r="E164" s="116" t="n">
        <v>35</v>
      </c>
      <c r="F164" s="142" t="n">
        <v>-0.08</v>
      </c>
      <c r="G164" s="142" t="n">
        <v>0</v>
      </c>
      <c r="H164" s="143" t="n">
        <v>71</v>
      </c>
    </row>
    <row r="165" customFormat="false" ht="15" hidden="false" customHeight="false" outlineLevel="0" collapsed="false">
      <c r="B165" s="9" t="s">
        <v>801</v>
      </c>
      <c r="C165" s="9" t="s">
        <v>404</v>
      </c>
      <c r="D165" s="9" t="s">
        <v>809</v>
      </c>
      <c r="E165" s="116" t="n">
        <v>10</v>
      </c>
      <c r="F165" s="142" t="n">
        <v>-0.1</v>
      </c>
      <c r="G165" s="142" t="n">
        <v>0.1</v>
      </c>
      <c r="H165" s="143" t="n">
        <v>61</v>
      </c>
    </row>
    <row r="166" customFormat="false" ht="15" hidden="false" customHeight="false" outlineLevel="0" collapsed="false">
      <c r="B166" s="9" t="s">
        <v>801</v>
      </c>
      <c r="C166" s="9" t="s">
        <v>404</v>
      </c>
      <c r="D166" s="9" t="s">
        <v>810</v>
      </c>
      <c r="E166" s="116" t="n">
        <v>63</v>
      </c>
      <c r="F166" s="142" t="n">
        <v>-0.1</v>
      </c>
      <c r="G166" s="142" t="n">
        <v>0.142857142857143</v>
      </c>
      <c r="H166" s="143" t="n">
        <v>79</v>
      </c>
    </row>
    <row r="167" customFormat="false" ht="15" hidden="false" customHeight="false" outlineLevel="0" collapsed="false">
      <c r="B167" s="9" t="s">
        <v>531</v>
      </c>
      <c r="C167" s="9" t="s">
        <v>405</v>
      </c>
      <c r="D167" s="9" t="s">
        <v>809</v>
      </c>
      <c r="E167" s="116" t="n">
        <v>14</v>
      </c>
      <c r="F167" s="142" t="n">
        <v>-0.215</v>
      </c>
      <c r="G167" s="142" t="n">
        <v>0.571428571428571</v>
      </c>
      <c r="H167" s="143" t="n">
        <v>93.5</v>
      </c>
    </row>
    <row r="168" customFormat="false" ht="15" hidden="false" customHeight="false" outlineLevel="0" collapsed="false">
      <c r="B168" s="9" t="s">
        <v>531</v>
      </c>
      <c r="C168" s="9" t="s">
        <v>405</v>
      </c>
      <c r="D168" s="9" t="s">
        <v>810</v>
      </c>
      <c r="E168" s="116" t="n">
        <v>29</v>
      </c>
      <c r="F168" s="142" t="n">
        <v>-0.14</v>
      </c>
      <c r="G168" s="142" t="n">
        <v>0.413793103448276</v>
      </c>
      <c r="H168" s="143" t="n">
        <v>119</v>
      </c>
    </row>
    <row r="169" customFormat="false" ht="15" hidden="false" customHeight="false" outlineLevel="0" collapsed="false">
      <c r="B169" s="9" t="s">
        <v>799</v>
      </c>
      <c r="C169" s="9" t="s">
        <v>405</v>
      </c>
      <c r="D169" s="9" t="s">
        <v>809</v>
      </c>
      <c r="E169" s="116" t="n">
        <v>41</v>
      </c>
      <c r="F169" s="142" t="n">
        <v>-0.01</v>
      </c>
      <c r="G169" s="142" t="n">
        <v>0.024390243902439</v>
      </c>
      <c r="H169" s="143" t="n">
        <v>109</v>
      </c>
    </row>
    <row r="170" customFormat="false" ht="15" hidden="false" customHeight="false" outlineLevel="0" collapsed="false">
      <c r="B170" s="9" t="s">
        <v>799</v>
      </c>
      <c r="C170" s="9" t="s">
        <v>405</v>
      </c>
      <c r="D170" s="9" t="s">
        <v>811</v>
      </c>
      <c r="E170" s="116" t="n">
        <v>8</v>
      </c>
      <c r="F170" s="142" t="n">
        <v>0</v>
      </c>
      <c r="G170" s="142" t="n">
        <v>0</v>
      </c>
      <c r="H170" s="143" t="n">
        <v>101</v>
      </c>
    </row>
    <row r="171" customFormat="false" ht="15" hidden="false" customHeight="false" outlineLevel="0" collapsed="false">
      <c r="B171" s="9" t="s">
        <v>799</v>
      </c>
      <c r="C171" s="9" t="s">
        <v>405</v>
      </c>
      <c r="D171" s="9" t="s">
        <v>810</v>
      </c>
      <c r="E171" s="116" t="n">
        <v>50</v>
      </c>
      <c r="F171" s="142" t="n">
        <v>-0.01</v>
      </c>
      <c r="G171" s="142" t="n">
        <v>0.04</v>
      </c>
      <c r="H171" s="143" t="n">
        <v>119.5</v>
      </c>
    </row>
    <row r="172" customFormat="false" ht="15" hidden="false" customHeight="false" outlineLevel="0" collapsed="false">
      <c r="B172" s="9" t="s">
        <v>800</v>
      </c>
      <c r="C172" s="9" t="s">
        <v>405</v>
      </c>
      <c r="D172" s="9" t="s">
        <v>809</v>
      </c>
      <c r="E172" s="116" t="n">
        <v>21</v>
      </c>
      <c r="F172" s="142" t="n">
        <v>0</v>
      </c>
      <c r="G172" s="142" t="n">
        <v>0</v>
      </c>
      <c r="H172" s="143" t="n">
        <v>102</v>
      </c>
    </row>
    <row r="173" customFormat="false" ht="15" hidden="false" customHeight="false" outlineLevel="0" collapsed="false">
      <c r="B173" s="9" t="s">
        <v>800</v>
      </c>
      <c r="C173" s="9" t="s">
        <v>405</v>
      </c>
      <c r="D173" s="9" t="s">
        <v>811</v>
      </c>
      <c r="E173" s="116" t="n">
        <v>11</v>
      </c>
      <c r="F173" s="142" t="n">
        <v>-0.01</v>
      </c>
      <c r="G173" s="142" t="n">
        <v>0</v>
      </c>
      <c r="H173" s="143" t="n">
        <v>103</v>
      </c>
    </row>
    <row r="174" customFormat="false" ht="15" hidden="false" customHeight="false" outlineLevel="0" collapsed="false">
      <c r="B174" s="9" t="s">
        <v>800</v>
      </c>
      <c r="C174" s="9" t="s">
        <v>405</v>
      </c>
      <c r="D174" s="9" t="s">
        <v>810</v>
      </c>
      <c r="E174" s="116" t="n">
        <v>45</v>
      </c>
      <c r="F174" s="142" t="n">
        <v>0</v>
      </c>
      <c r="G174" s="142" t="n">
        <v>0</v>
      </c>
      <c r="H174" s="143" t="n">
        <v>92</v>
      </c>
    </row>
    <row r="175" customFormat="false" ht="15" hidden="false" customHeight="false" outlineLevel="0" collapsed="false">
      <c r="B175" s="9" t="s">
        <v>801</v>
      </c>
      <c r="C175" s="9" t="s">
        <v>405</v>
      </c>
      <c r="D175" s="9" t="s">
        <v>810</v>
      </c>
      <c r="E175" s="116" t="n">
        <v>26</v>
      </c>
      <c r="F175" s="142" t="n">
        <v>0</v>
      </c>
      <c r="G175" s="142" t="n">
        <v>0</v>
      </c>
      <c r="H175" s="143" t="n">
        <v>95.5</v>
      </c>
    </row>
    <row r="176" customFormat="false" ht="15" hidden="false" customHeight="false" outlineLevel="0" collapsed="false">
      <c r="B176" s="9" t="s">
        <v>531</v>
      </c>
      <c r="C176" s="9" t="s">
        <v>406</v>
      </c>
      <c r="D176" s="9" t="s">
        <v>809</v>
      </c>
      <c r="E176" s="116" t="n">
        <v>13</v>
      </c>
      <c r="F176" s="142" t="n">
        <v>-0.09</v>
      </c>
      <c r="G176" s="142" t="n">
        <v>0</v>
      </c>
      <c r="H176" s="143" t="n">
        <v>127</v>
      </c>
    </row>
    <row r="177" customFormat="false" ht="15" hidden="false" customHeight="false" outlineLevel="0" collapsed="false">
      <c r="B177" s="9" t="s">
        <v>531</v>
      </c>
      <c r="C177" s="9" t="s">
        <v>406</v>
      </c>
      <c r="D177" s="9" t="s">
        <v>810</v>
      </c>
      <c r="E177" s="116" t="n">
        <v>26</v>
      </c>
      <c r="F177" s="142" t="n">
        <v>0</v>
      </c>
      <c r="G177" s="142" t="n">
        <v>0</v>
      </c>
      <c r="H177" s="143" t="n">
        <v>131.5</v>
      </c>
    </row>
    <row r="178" customFormat="false" ht="15" hidden="false" customHeight="false" outlineLevel="0" collapsed="false">
      <c r="B178" s="9" t="s">
        <v>799</v>
      </c>
      <c r="C178" s="9" t="s">
        <v>406</v>
      </c>
      <c r="D178" s="9" t="s">
        <v>809</v>
      </c>
      <c r="E178" s="116" t="n">
        <v>29</v>
      </c>
      <c r="F178" s="142" t="n">
        <v>0</v>
      </c>
      <c r="G178" s="142" t="n">
        <v>0</v>
      </c>
      <c r="H178" s="143" t="n">
        <v>115</v>
      </c>
    </row>
    <row r="179" customFormat="false" ht="15" hidden="false" customHeight="false" outlineLevel="0" collapsed="false">
      <c r="B179" s="9" t="s">
        <v>799</v>
      </c>
      <c r="C179" s="9" t="s">
        <v>406</v>
      </c>
      <c r="D179" s="9" t="s">
        <v>811</v>
      </c>
      <c r="E179" s="116" t="n">
        <v>18</v>
      </c>
      <c r="F179" s="142" t="n">
        <v>-0.01</v>
      </c>
      <c r="G179" s="142" t="n">
        <v>0</v>
      </c>
      <c r="H179" s="143" t="n">
        <v>112.5</v>
      </c>
    </row>
    <row r="180" customFormat="false" ht="15" hidden="false" customHeight="false" outlineLevel="0" collapsed="false">
      <c r="B180" s="9" t="s">
        <v>799</v>
      </c>
      <c r="C180" s="9" t="s">
        <v>406</v>
      </c>
      <c r="D180" s="9" t="s">
        <v>810</v>
      </c>
      <c r="E180" s="116" t="n">
        <v>67</v>
      </c>
      <c r="F180" s="142" t="n">
        <v>0</v>
      </c>
      <c r="G180" s="142" t="n">
        <v>0</v>
      </c>
      <c r="H180" s="143" t="n">
        <v>119</v>
      </c>
    </row>
    <row r="181" customFormat="false" ht="15" hidden="false" customHeight="false" outlineLevel="0" collapsed="false">
      <c r="B181" s="9" t="s">
        <v>800</v>
      </c>
      <c r="C181" s="9" t="s">
        <v>406</v>
      </c>
      <c r="D181" s="9" t="s">
        <v>809</v>
      </c>
      <c r="E181" s="116" t="n">
        <v>14</v>
      </c>
      <c r="F181" s="142" t="n">
        <v>0</v>
      </c>
      <c r="G181" s="142" t="n">
        <v>0.0714285714285714</v>
      </c>
      <c r="H181" s="143" t="n">
        <v>113.5</v>
      </c>
    </row>
    <row r="182" customFormat="false" ht="15" hidden="false" customHeight="false" outlineLevel="0" collapsed="false">
      <c r="B182" s="9" t="s">
        <v>800</v>
      </c>
      <c r="C182" s="9" t="s">
        <v>406</v>
      </c>
      <c r="D182" s="9" t="s">
        <v>811</v>
      </c>
      <c r="E182" s="116" t="n">
        <v>7</v>
      </c>
      <c r="F182" s="142" t="n">
        <v>-0.01</v>
      </c>
      <c r="G182" s="142" t="n">
        <v>0.142857142857143</v>
      </c>
      <c r="H182" s="143" t="n">
        <v>100</v>
      </c>
    </row>
    <row r="183" customFormat="false" ht="15" hidden="false" customHeight="false" outlineLevel="0" collapsed="false">
      <c r="B183" s="9" t="s">
        <v>800</v>
      </c>
      <c r="C183" s="9" t="s">
        <v>406</v>
      </c>
      <c r="D183" s="9" t="s">
        <v>810</v>
      </c>
      <c r="E183" s="116" t="n">
        <v>31</v>
      </c>
      <c r="F183" s="142" t="n">
        <v>0</v>
      </c>
      <c r="G183" s="142" t="n">
        <v>0</v>
      </c>
      <c r="H183" s="143" t="n">
        <v>110</v>
      </c>
    </row>
    <row r="184" customFormat="false" ht="15" hidden="false" customHeight="false" outlineLevel="0" collapsed="false">
      <c r="B184" s="9" t="s">
        <v>801</v>
      </c>
      <c r="C184" s="9" t="s">
        <v>406</v>
      </c>
      <c r="D184" s="9" t="s">
        <v>809</v>
      </c>
      <c r="E184" s="116" t="n">
        <v>7</v>
      </c>
      <c r="F184" s="142" t="n">
        <v>0</v>
      </c>
      <c r="G184" s="142" t="n">
        <v>0</v>
      </c>
      <c r="H184" s="143" t="n">
        <v>95</v>
      </c>
    </row>
    <row r="185" customFormat="false" ht="15" hidden="false" customHeight="false" outlineLevel="0" collapsed="false">
      <c r="B185" s="9" t="s">
        <v>801</v>
      </c>
      <c r="C185" s="9" t="s">
        <v>406</v>
      </c>
      <c r="D185" s="9" t="s">
        <v>810</v>
      </c>
      <c r="E185" s="116" t="n">
        <v>44</v>
      </c>
      <c r="F185" s="142" t="n">
        <v>0</v>
      </c>
      <c r="G185" s="142" t="n">
        <v>0</v>
      </c>
      <c r="H185" s="143" t="n">
        <v>112</v>
      </c>
    </row>
    <row r="186" customFormat="false" ht="15" hidden="false" customHeight="false" outlineLevel="0" collapsed="false">
      <c r="B186" s="9" t="s">
        <v>531</v>
      </c>
      <c r="C186" s="9" t="s">
        <v>795</v>
      </c>
      <c r="D186" s="9" t="s">
        <v>810</v>
      </c>
      <c r="E186" s="116" t="n">
        <v>16</v>
      </c>
      <c r="F186" s="142" t="n">
        <v>0</v>
      </c>
      <c r="G186" s="142" t="n">
        <v>0</v>
      </c>
      <c r="H186" s="143" t="n">
        <v>119.5</v>
      </c>
    </row>
    <row r="187" customFormat="false" ht="15" hidden="false" customHeight="false" outlineLevel="0" collapsed="false">
      <c r="B187" s="9" t="s">
        <v>799</v>
      </c>
      <c r="C187" s="9" t="s">
        <v>795</v>
      </c>
      <c r="D187" s="9" t="s">
        <v>809</v>
      </c>
      <c r="E187" s="116" t="n">
        <v>11</v>
      </c>
      <c r="F187" s="142" t="n">
        <v>0</v>
      </c>
      <c r="G187" s="142" t="n">
        <v>0</v>
      </c>
      <c r="H187" s="143" t="n">
        <v>132</v>
      </c>
    </row>
    <row r="188" customFormat="false" ht="15" hidden="false" customHeight="false" outlineLevel="0" collapsed="false">
      <c r="B188" s="9" t="s">
        <v>799</v>
      </c>
      <c r="C188" s="9" t="s">
        <v>795</v>
      </c>
      <c r="D188" s="9" t="s">
        <v>811</v>
      </c>
      <c r="E188" s="116" t="n">
        <v>8</v>
      </c>
      <c r="F188" s="142" t="n">
        <v>0</v>
      </c>
      <c r="G188" s="142" t="n">
        <v>0</v>
      </c>
      <c r="H188" s="143" t="n">
        <v>112</v>
      </c>
    </row>
    <row r="189" customFormat="false" ht="15" hidden="false" customHeight="false" outlineLevel="0" collapsed="false">
      <c r="B189" s="9" t="s">
        <v>799</v>
      </c>
      <c r="C189" s="9" t="s">
        <v>795</v>
      </c>
      <c r="D189" s="9" t="s">
        <v>810</v>
      </c>
      <c r="E189" s="116" t="n">
        <v>24</v>
      </c>
      <c r="F189" s="142" t="n">
        <v>0</v>
      </c>
      <c r="G189" s="142" t="n">
        <v>0</v>
      </c>
      <c r="H189" s="143" t="n">
        <v>121.5</v>
      </c>
    </row>
    <row r="190" customFormat="false" ht="15" hidden="false" customHeight="false" outlineLevel="0" collapsed="false">
      <c r="B190" s="9" t="s">
        <v>800</v>
      </c>
      <c r="C190" s="9" t="s">
        <v>795</v>
      </c>
      <c r="D190" s="9" t="s">
        <v>809</v>
      </c>
      <c r="E190" s="116" t="n">
        <v>4</v>
      </c>
      <c r="F190" s="142" t="n">
        <v>-0.005</v>
      </c>
      <c r="G190" s="142" t="n">
        <v>0</v>
      </c>
      <c r="H190" s="143" t="n">
        <v>86.5</v>
      </c>
    </row>
    <row r="191" customFormat="false" ht="15" hidden="false" customHeight="false" outlineLevel="0" collapsed="false">
      <c r="B191" s="9" t="s">
        <v>800</v>
      </c>
      <c r="C191" s="9" t="s">
        <v>795</v>
      </c>
      <c r="D191" s="9" t="s">
        <v>811</v>
      </c>
      <c r="E191" s="116" t="n">
        <v>3</v>
      </c>
      <c r="F191" s="142" t="n">
        <v>0</v>
      </c>
      <c r="G191" s="142" t="n">
        <v>0</v>
      </c>
      <c r="H191" s="143" t="n">
        <v>97</v>
      </c>
    </row>
    <row r="192" customFormat="false" ht="15" hidden="false" customHeight="false" outlineLevel="0" collapsed="false">
      <c r="B192" s="9" t="s">
        <v>800</v>
      </c>
      <c r="C192" s="9" t="s">
        <v>795</v>
      </c>
      <c r="D192" s="9" t="s">
        <v>810</v>
      </c>
      <c r="E192" s="116" t="n">
        <v>16</v>
      </c>
      <c r="F192" s="142" t="n">
        <v>0</v>
      </c>
      <c r="G192" s="142" t="n">
        <v>0</v>
      </c>
      <c r="H192" s="143" t="n">
        <v>96</v>
      </c>
    </row>
    <row r="193" customFormat="false" ht="15" hidden="false" customHeight="false" outlineLevel="0" collapsed="false">
      <c r="B193" s="9" t="s">
        <v>801</v>
      </c>
      <c r="C193" s="9" t="s">
        <v>795</v>
      </c>
      <c r="D193" s="9" t="s">
        <v>811</v>
      </c>
      <c r="E193" s="116" t="n">
        <v>3</v>
      </c>
      <c r="F193" s="142" t="n">
        <v>0</v>
      </c>
      <c r="G193" s="142" t="n">
        <v>0</v>
      </c>
      <c r="H193" s="143" t="n">
        <v>112</v>
      </c>
    </row>
    <row r="194" customFormat="false" ht="15" hidden="false" customHeight="false" outlineLevel="0" collapsed="false">
      <c r="B194" s="9" t="s">
        <v>801</v>
      </c>
      <c r="C194" s="9" t="s">
        <v>795</v>
      </c>
      <c r="D194" s="9" t="s">
        <v>810</v>
      </c>
      <c r="E194" s="116" t="n">
        <v>7</v>
      </c>
      <c r="F194" s="142" t="n">
        <v>0</v>
      </c>
      <c r="G194" s="142" t="n">
        <v>0</v>
      </c>
      <c r="H194" s="143" t="n">
        <v>145</v>
      </c>
    </row>
    <row r="196" customFormat="false" ht="15" hidden="false" customHeight="false" outlineLevel="0" collapsed="false">
      <c r="B196" s="9" t="s">
        <v>812</v>
      </c>
      <c r="F196" s="82" t="n">
        <f aca="false">E158/(E158+E157)</f>
        <v>0.661016949152542</v>
      </c>
    </row>
    <row r="198" customFormat="false" ht="15" hidden="false" customHeight="false" outlineLevel="0" collapsed="false">
      <c r="B198" s="4" t="s">
        <v>813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customFormat="false" ht="15" hidden="false" customHeight="false" outlineLevel="0" collapsed="false">
      <c r="B199" s="4" t="s">
        <v>814</v>
      </c>
      <c r="C199" s="4" t="s">
        <v>785</v>
      </c>
      <c r="D199" s="75" t="s">
        <v>788</v>
      </c>
      <c r="E199" s="75" t="s">
        <v>789</v>
      </c>
      <c r="F199" s="75" t="s">
        <v>793</v>
      </c>
    </row>
    <row r="200" customFormat="false" ht="15" hidden="false" customHeight="false" outlineLevel="0" collapsed="false">
      <c r="B200" s="9" t="s">
        <v>815</v>
      </c>
      <c r="C200" s="9" t="s">
        <v>800</v>
      </c>
      <c r="D200" s="116" t="n">
        <v>3</v>
      </c>
      <c r="E200" s="142" t="n">
        <v>-0.01</v>
      </c>
      <c r="F200" s="143" t="n">
        <v>139</v>
      </c>
    </row>
    <row r="201" customFormat="false" ht="15" hidden="false" customHeight="false" outlineLevel="0" collapsed="false">
      <c r="B201" s="9" t="s">
        <v>815</v>
      </c>
      <c r="C201" s="9" t="s">
        <v>799</v>
      </c>
      <c r="D201" s="116" t="n">
        <v>3</v>
      </c>
      <c r="E201" s="142" t="n">
        <v>0</v>
      </c>
      <c r="F201" s="143" t="n">
        <v>102</v>
      </c>
    </row>
    <row r="202" customFormat="false" ht="15" hidden="false" customHeight="false" outlineLevel="0" collapsed="false">
      <c r="B202" s="9" t="s">
        <v>816</v>
      </c>
      <c r="C202" s="9" t="s">
        <v>799</v>
      </c>
      <c r="D202" s="116" t="n">
        <v>8</v>
      </c>
      <c r="E202" s="142" t="n">
        <v>-0.02</v>
      </c>
      <c r="F202" s="143" t="n">
        <v>147</v>
      </c>
    </row>
    <row r="203" customFormat="false" ht="15" hidden="false" customHeight="false" outlineLevel="0" collapsed="false">
      <c r="B203" s="9" t="s">
        <v>817</v>
      </c>
      <c r="C203" s="9" t="s">
        <v>799</v>
      </c>
      <c r="D203" s="116" t="n">
        <v>18</v>
      </c>
      <c r="E203" s="142" t="n">
        <v>0</v>
      </c>
      <c r="F203" s="143" t="n">
        <v>118</v>
      </c>
    </row>
    <row r="204" customFormat="false" ht="15" hidden="false" customHeight="false" outlineLevel="0" collapsed="false">
      <c r="B204" s="9" t="s">
        <v>818</v>
      </c>
      <c r="C204" s="9" t="s">
        <v>800</v>
      </c>
      <c r="D204" s="116" t="n">
        <v>8</v>
      </c>
      <c r="E204" s="142" t="n">
        <v>0</v>
      </c>
      <c r="F204" s="143" t="n">
        <v>104.5</v>
      </c>
    </row>
    <row r="205" customFormat="false" ht="15" hidden="false" customHeight="false" outlineLevel="0" collapsed="false">
      <c r="B205" s="9" t="s">
        <v>819</v>
      </c>
      <c r="C205" s="9" t="s">
        <v>800</v>
      </c>
      <c r="D205" s="116" t="n">
        <v>23</v>
      </c>
      <c r="E205" s="142" t="n">
        <v>-0.01</v>
      </c>
      <c r="F205" s="143" t="n">
        <v>83</v>
      </c>
    </row>
    <row r="206" customFormat="false" ht="15" hidden="false" customHeight="false" outlineLevel="0" collapsed="false">
      <c r="B206" s="9" t="s">
        <v>819</v>
      </c>
      <c r="C206" s="9" t="s">
        <v>531</v>
      </c>
      <c r="D206" s="116" t="n">
        <v>11</v>
      </c>
      <c r="E206" s="142" t="n">
        <v>-0.14</v>
      </c>
      <c r="F206" s="143" t="n">
        <v>123</v>
      </c>
    </row>
    <row r="207" customFormat="false" ht="15" hidden="false" customHeight="false" outlineLevel="0" collapsed="false">
      <c r="B207" s="9" t="s">
        <v>819</v>
      </c>
      <c r="C207" s="9" t="s">
        <v>799</v>
      </c>
      <c r="D207" s="116" t="n">
        <v>27</v>
      </c>
      <c r="E207" s="142" t="n">
        <v>-0.06</v>
      </c>
      <c r="F207" s="143" t="n">
        <v>99</v>
      </c>
    </row>
    <row r="208" customFormat="false" ht="15" hidden="false" customHeight="false" outlineLevel="0" collapsed="false">
      <c r="B208" s="9" t="s">
        <v>820</v>
      </c>
      <c r="C208" s="9" t="s">
        <v>800</v>
      </c>
      <c r="D208" s="116" t="n">
        <v>7</v>
      </c>
      <c r="E208" s="142" t="n">
        <v>0</v>
      </c>
      <c r="F208" s="143" t="n">
        <v>114</v>
      </c>
    </row>
    <row r="209" customFormat="false" ht="15" hidden="false" customHeight="false" outlineLevel="0" collapsed="false">
      <c r="B209" s="9" t="s">
        <v>821</v>
      </c>
      <c r="C209" s="9" t="s">
        <v>800</v>
      </c>
      <c r="D209" s="116" t="n">
        <v>3</v>
      </c>
      <c r="E209" s="142" t="n">
        <v>0</v>
      </c>
      <c r="F209" s="143" t="n">
        <v>81</v>
      </c>
    </row>
    <row r="210" customFormat="false" ht="15" hidden="false" customHeight="false" outlineLevel="0" collapsed="false">
      <c r="B210" s="9" t="s">
        <v>822</v>
      </c>
      <c r="C210" s="9" t="s">
        <v>531</v>
      </c>
      <c r="D210" s="116" t="n">
        <v>4</v>
      </c>
      <c r="E210" s="142" t="n">
        <v>-0.07</v>
      </c>
      <c r="F210" s="143" t="n">
        <v>163</v>
      </c>
    </row>
    <row r="211" customFormat="false" ht="15" hidden="false" customHeight="false" outlineLevel="0" collapsed="false">
      <c r="B211" s="9" t="s">
        <v>823</v>
      </c>
      <c r="C211" s="9" t="s">
        <v>800</v>
      </c>
      <c r="D211" s="116" t="n">
        <v>6</v>
      </c>
      <c r="E211" s="142" t="n">
        <v>0</v>
      </c>
      <c r="F211" s="143" t="n">
        <v>129</v>
      </c>
    </row>
    <row r="212" customFormat="false" ht="15" hidden="false" customHeight="false" outlineLevel="0" collapsed="false">
      <c r="B212" s="9" t="s">
        <v>824</v>
      </c>
      <c r="C212" s="9" t="s">
        <v>531</v>
      </c>
      <c r="D212" s="116" t="n">
        <v>7</v>
      </c>
      <c r="E212" s="142" t="n">
        <v>-0.24</v>
      </c>
      <c r="F212" s="143" t="n">
        <v>69</v>
      </c>
    </row>
    <row r="213" customFormat="false" ht="15" hidden="false" customHeight="false" outlineLevel="0" collapsed="false">
      <c r="B213" s="9" t="s">
        <v>825</v>
      </c>
      <c r="C213" s="9" t="s">
        <v>800</v>
      </c>
      <c r="D213" s="116" t="n">
        <v>19</v>
      </c>
      <c r="E213" s="142" t="n">
        <v>0</v>
      </c>
      <c r="F213" s="143" t="n">
        <v>100</v>
      </c>
    </row>
    <row r="214" customFormat="false" ht="15" hidden="false" customHeight="false" outlineLevel="0" collapsed="false">
      <c r="B214" s="9" t="s">
        <v>825</v>
      </c>
      <c r="C214" s="9" t="s">
        <v>531</v>
      </c>
      <c r="D214" s="116" t="n">
        <v>10</v>
      </c>
      <c r="E214" s="142" t="n">
        <v>-0.195</v>
      </c>
      <c r="F214" s="143" t="n">
        <v>93.5</v>
      </c>
    </row>
    <row r="215" customFormat="false" ht="15" hidden="false" customHeight="false" outlineLevel="0" collapsed="false">
      <c r="B215" s="9" t="s">
        <v>825</v>
      </c>
      <c r="C215" s="9" t="s">
        <v>799</v>
      </c>
      <c r="D215" s="116" t="n">
        <v>24</v>
      </c>
      <c r="E215" s="142" t="n">
        <v>-0.005</v>
      </c>
      <c r="F215" s="143" t="n">
        <v>117.5</v>
      </c>
    </row>
    <row r="216" customFormat="false" ht="15" hidden="false" customHeight="false" outlineLevel="0" collapsed="false">
      <c r="B216" s="9" t="s">
        <v>826</v>
      </c>
      <c r="C216" s="9" t="s">
        <v>531</v>
      </c>
      <c r="D216" s="116" t="n">
        <v>5</v>
      </c>
      <c r="E216" s="142" t="n">
        <v>-0.13</v>
      </c>
      <c r="F216" s="143" t="n">
        <v>164</v>
      </c>
    </row>
    <row r="217" customFormat="false" ht="15" hidden="false" customHeight="false" outlineLevel="0" collapsed="false">
      <c r="B217" s="9" t="s">
        <v>826</v>
      </c>
      <c r="C217" s="9" t="s">
        <v>799</v>
      </c>
      <c r="D217" s="116" t="n">
        <v>5</v>
      </c>
      <c r="E217" s="142" t="n">
        <v>-0.02</v>
      </c>
      <c r="F217" s="143" t="n">
        <v>85</v>
      </c>
    </row>
    <row r="218" customFormat="false" ht="15" hidden="false" customHeight="false" outlineLevel="0" collapsed="false">
      <c r="B218" s="9" t="s">
        <v>827</v>
      </c>
      <c r="C218" s="9" t="s">
        <v>800</v>
      </c>
      <c r="D218" s="116" t="n">
        <v>5</v>
      </c>
      <c r="E218" s="142" t="n">
        <v>0</v>
      </c>
      <c r="F218" s="143" t="n">
        <v>104</v>
      </c>
    </row>
    <row r="219" customFormat="false" ht="15" hidden="false" customHeight="false" outlineLevel="0" collapsed="false">
      <c r="B219" s="9" t="s">
        <v>827</v>
      </c>
      <c r="C219" s="9" t="s">
        <v>531</v>
      </c>
      <c r="D219" s="116" t="n">
        <v>5</v>
      </c>
      <c r="E219" s="142" t="n">
        <v>-0.04</v>
      </c>
      <c r="F219" s="143" t="n">
        <v>115</v>
      </c>
    </row>
    <row r="220" customFormat="false" ht="15" hidden="false" customHeight="false" outlineLevel="0" collapsed="false">
      <c r="B220" s="9" t="s">
        <v>827</v>
      </c>
      <c r="C220" s="9" t="s">
        <v>799</v>
      </c>
      <c r="D220" s="116" t="n">
        <v>9</v>
      </c>
      <c r="E220" s="142" t="n">
        <v>0</v>
      </c>
      <c r="F220" s="143" t="n">
        <v>93</v>
      </c>
    </row>
    <row r="222" customFormat="false" ht="15" hidden="false" customHeight="false" outlineLevel="0" collapsed="false">
      <c r="B222" s="9" t="s">
        <v>828</v>
      </c>
      <c r="E222" s="82" t="n">
        <f aca="false">F214/F215-1</f>
        <v>-0.204255319148936</v>
      </c>
      <c r="F222" s="82" t="n">
        <f aca="false">F214/F213-1</f>
        <v>-0.065</v>
      </c>
    </row>
    <row r="224" customFormat="false" ht="15" hidden="false" customHeight="false" outlineLevel="0" collapsed="false">
      <c r="B224" s="4" t="s">
        <v>829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customFormat="false" ht="15" hidden="false" customHeight="false" outlineLevel="0" collapsed="false">
      <c r="B225" s="4" t="s">
        <v>524</v>
      </c>
      <c r="C225" s="75" t="s">
        <v>830</v>
      </c>
      <c r="D225" s="75" t="s">
        <v>831</v>
      </c>
      <c r="E225" s="75" t="s">
        <v>788</v>
      </c>
      <c r="F225" s="75" t="s">
        <v>789</v>
      </c>
      <c r="G225" s="75" t="s">
        <v>793</v>
      </c>
      <c r="H225" s="75" t="s">
        <v>792</v>
      </c>
    </row>
    <row r="226" customFormat="false" ht="15" hidden="false" customHeight="false" outlineLevel="0" collapsed="false">
      <c r="B226" s="9" t="s">
        <v>530</v>
      </c>
      <c r="C226" s="144" t="n">
        <v>2027</v>
      </c>
      <c r="D226" s="144" t="n">
        <v>1</v>
      </c>
      <c r="E226" s="116" t="n">
        <v>2</v>
      </c>
      <c r="F226" s="142" t="n">
        <v>-0.065</v>
      </c>
      <c r="G226" s="143" t="n">
        <v>198.5</v>
      </c>
      <c r="H226" s="142" t="n">
        <v>1</v>
      </c>
    </row>
    <row r="227" customFormat="false" ht="15" hidden="false" customHeight="false" outlineLevel="0" collapsed="false">
      <c r="B227" s="9" t="s">
        <v>535</v>
      </c>
      <c r="C227" s="144" t="n">
        <v>2026</v>
      </c>
      <c r="D227" s="144" t="n">
        <v>1</v>
      </c>
      <c r="E227" s="116" t="n">
        <v>5</v>
      </c>
      <c r="F227" s="142" t="n">
        <v>-0.22</v>
      </c>
      <c r="G227" s="143" t="n">
        <v>74</v>
      </c>
      <c r="H227" s="142" t="n">
        <v>0.4</v>
      </c>
    </row>
    <row r="228" customFormat="false" ht="15" hidden="false" customHeight="false" outlineLevel="0" collapsed="false">
      <c r="B228" s="9" t="s">
        <v>537</v>
      </c>
      <c r="C228" s="144" t="n">
        <v>2025</v>
      </c>
      <c r="D228" s="144" t="n">
        <v>1</v>
      </c>
      <c r="E228" s="116" t="n">
        <v>6</v>
      </c>
      <c r="F228" s="142" t="n">
        <v>-0.24</v>
      </c>
      <c r="G228" s="143" t="n">
        <v>96</v>
      </c>
      <c r="H228" s="142" t="n">
        <v>1</v>
      </c>
    </row>
    <row r="229" customFormat="false" ht="15" hidden="false" customHeight="false" outlineLevel="0" collapsed="false">
      <c r="B229" s="9" t="s">
        <v>539</v>
      </c>
      <c r="C229" s="144" t="n">
        <v>2023</v>
      </c>
      <c r="D229" s="144" t="n">
        <v>1</v>
      </c>
      <c r="E229" s="116" t="n">
        <v>4</v>
      </c>
      <c r="F229" s="142" t="n">
        <v>-0.11</v>
      </c>
      <c r="G229" s="143" t="n">
        <v>135.5</v>
      </c>
      <c r="H229" s="142" t="n">
        <v>0.25</v>
      </c>
    </row>
    <row r="230" customFormat="false" ht="15" hidden="false" customHeight="false" outlineLevel="0" collapsed="false">
      <c r="B230" s="9" t="s">
        <v>541</v>
      </c>
      <c r="C230" s="144" t="n">
        <v>2022</v>
      </c>
      <c r="D230" s="144" t="n">
        <v>1</v>
      </c>
      <c r="E230" s="116" t="n">
        <v>11</v>
      </c>
      <c r="F230" s="142" t="n">
        <v>-0.26</v>
      </c>
      <c r="G230" s="143" t="n">
        <v>127</v>
      </c>
      <c r="H230" s="142" t="n">
        <v>0.545454545454545</v>
      </c>
    </row>
    <row r="231" customFormat="false" ht="15" hidden="false" customHeight="false" outlineLevel="0" collapsed="false">
      <c r="B231" s="9" t="s">
        <v>546</v>
      </c>
      <c r="C231" s="144" t="n">
        <v>2018</v>
      </c>
      <c r="D231" s="144" t="n">
        <v>0</v>
      </c>
      <c r="E231" s="116" t="n">
        <v>4</v>
      </c>
      <c r="F231" s="142" t="n">
        <v>-0.16</v>
      </c>
      <c r="G231" s="143" t="n">
        <v>101.5</v>
      </c>
      <c r="H231" s="142" t="n">
        <v>0.5</v>
      </c>
    </row>
    <row r="232" customFormat="false" ht="15" hidden="false" customHeight="false" outlineLevel="0" collapsed="false">
      <c r="B232" s="9" t="s">
        <v>547</v>
      </c>
      <c r="C232" s="144" t="n">
        <v>2017</v>
      </c>
      <c r="D232" s="144" t="n">
        <v>0</v>
      </c>
      <c r="E232" s="116" t="n">
        <v>6</v>
      </c>
      <c r="F232" s="142" t="n">
        <v>-0.295</v>
      </c>
      <c r="G232" s="143" t="n">
        <v>90</v>
      </c>
      <c r="H232" s="142" t="n">
        <v>0.666666666666667</v>
      </c>
    </row>
    <row r="233" customFormat="false" ht="15" hidden="false" customHeight="false" outlineLevel="0" collapsed="false">
      <c r="B233" s="9" t="s">
        <v>548</v>
      </c>
      <c r="C233" s="144" t="n">
        <v>2015</v>
      </c>
      <c r="D233" s="144" t="n">
        <v>0</v>
      </c>
      <c r="E233" s="116" t="n">
        <v>8</v>
      </c>
      <c r="F233" s="142" t="n">
        <v>-0.175</v>
      </c>
      <c r="G233" s="143" t="n">
        <v>112</v>
      </c>
      <c r="H233" s="142" t="n">
        <v>0.625</v>
      </c>
    </row>
    <row r="234" customFormat="false" ht="15" hidden="false" customHeight="false" outlineLevel="0" collapsed="false">
      <c r="B234" s="9" t="s">
        <v>549</v>
      </c>
      <c r="C234" s="144" t="n">
        <v>2014</v>
      </c>
      <c r="D234" s="144" t="n">
        <v>0</v>
      </c>
      <c r="E234" s="116" t="n">
        <v>12</v>
      </c>
      <c r="F234" s="142" t="n">
        <v>-0.395</v>
      </c>
      <c r="G234" s="143" t="n">
        <v>67</v>
      </c>
      <c r="H234" s="142" t="n">
        <v>0.833333333333333</v>
      </c>
    </row>
    <row r="235" customFormat="false" ht="15" hidden="false" customHeight="false" outlineLevel="0" collapsed="false">
      <c r="B235" s="9" t="s">
        <v>551</v>
      </c>
      <c r="C235" s="144" t="n">
        <v>2013</v>
      </c>
      <c r="D235" s="144" t="n">
        <v>0</v>
      </c>
      <c r="E235" s="116" t="n">
        <v>4</v>
      </c>
      <c r="F235" s="142" t="n">
        <v>-0.33</v>
      </c>
      <c r="G235" s="143" t="n">
        <v>57</v>
      </c>
      <c r="H235" s="142" t="n">
        <v>0.5</v>
      </c>
    </row>
    <row r="236" customFormat="false" ht="15" hidden="false" customHeight="false" outlineLevel="0" collapsed="false">
      <c r="B236" s="9" t="s">
        <v>552</v>
      </c>
      <c r="C236" s="144" t="n">
        <v>2010</v>
      </c>
      <c r="D236" s="144" t="n">
        <v>0</v>
      </c>
      <c r="E236" s="116" t="n">
        <v>7</v>
      </c>
      <c r="F236" s="142" t="n">
        <v>-0.41</v>
      </c>
      <c r="G236" s="143" t="n">
        <v>74</v>
      </c>
      <c r="H236" s="142" t="n">
        <v>0.857142857142857</v>
      </c>
    </row>
    <row r="237" customFormat="false" ht="15" hidden="false" customHeight="false" outlineLevel="0" collapsed="false">
      <c r="B237" s="9" t="s">
        <v>554</v>
      </c>
      <c r="C237" s="144" t="n">
        <v>2007</v>
      </c>
      <c r="D237" s="144" t="n">
        <v>0</v>
      </c>
      <c r="E237" s="116" t="n">
        <v>9</v>
      </c>
      <c r="F237" s="142" t="n">
        <v>-0.21</v>
      </c>
      <c r="G237" s="143" t="n">
        <v>105</v>
      </c>
      <c r="H237" s="142" t="n">
        <v>0.444444444444444</v>
      </c>
    </row>
    <row r="238" customFormat="false" ht="15" hidden="false" customHeight="false" outlineLevel="0" collapsed="false">
      <c r="B238" s="9" t="s">
        <v>557</v>
      </c>
      <c r="C238" s="144" t="n">
        <v>2006</v>
      </c>
      <c r="D238" s="144" t="n">
        <v>0</v>
      </c>
      <c r="E238" s="116" t="n">
        <v>11</v>
      </c>
      <c r="F238" s="142" t="n">
        <v>-0.24</v>
      </c>
      <c r="G238" s="143" t="n">
        <v>69</v>
      </c>
      <c r="H238" s="142" t="n">
        <v>0.636363636363636</v>
      </c>
    </row>
    <row r="239" customFormat="false" ht="15" hidden="false" customHeight="false" outlineLevel="0" collapsed="false">
      <c r="B239" s="9" t="s">
        <v>558</v>
      </c>
      <c r="C239" s="144" t="n">
        <v>2005</v>
      </c>
      <c r="D239" s="144" t="n">
        <v>0</v>
      </c>
      <c r="E239" s="116" t="n">
        <v>7</v>
      </c>
      <c r="F239" s="142" t="n">
        <v>-0.42</v>
      </c>
      <c r="G239" s="143" t="n">
        <v>66</v>
      </c>
      <c r="H239" s="142" t="n">
        <v>1</v>
      </c>
    </row>
    <row r="240" customFormat="false" ht="15" hidden="false" customHeight="false" outlineLevel="0" collapsed="false">
      <c r="B240" s="9" t="s">
        <v>561</v>
      </c>
      <c r="C240" s="144" t="n">
        <v>2002</v>
      </c>
      <c r="D240" s="144" t="n">
        <v>0</v>
      </c>
      <c r="E240" s="116" t="n">
        <v>7</v>
      </c>
      <c r="F240" s="142" t="n">
        <v>-0.41</v>
      </c>
      <c r="G240" s="143" t="n">
        <v>72</v>
      </c>
      <c r="H240" s="142" t="n">
        <v>0.571428571428571</v>
      </c>
    </row>
    <row r="241" customFormat="false" ht="15" hidden="false" customHeight="false" outlineLevel="0" collapsed="false">
      <c r="B241" s="19" t="s">
        <v>832</v>
      </c>
      <c r="F241" s="82" t="n">
        <f aca="false">SUMPRODUCT(D226:D240,F226:F240)/SUM(D226:D240)</f>
        <v>-0.179</v>
      </c>
    </row>
    <row r="242" customFormat="false" ht="15" hidden="false" customHeight="false" outlineLevel="0" collapsed="false">
      <c r="B242" s="19" t="s">
        <v>833</v>
      </c>
      <c r="F242" s="82" t="n">
        <f aca="false">(SUM(F226:F240)-SUMPRODUCT(D226:D240,F226:F240))/(COUNT(F226:F240)-SUM(D226:D240))</f>
        <v>-0.3045</v>
      </c>
    </row>
    <row r="243" customFormat="false" ht="15" hidden="false" customHeight="false" outlineLevel="0" collapsed="false">
      <c r="B243" s="9" t="s">
        <v>834</v>
      </c>
      <c r="E243" s="81" t="n">
        <f aca="false">'Fleet Build'!H54</f>
        <v>0.109330181514303</v>
      </c>
      <c r="F243" s="81" t="n">
        <f aca="false">'Fleet Build'!K54</f>
        <v>0.245533327508767</v>
      </c>
    </row>
    <row r="245" customFormat="false" ht="15" hidden="false" customHeight="false" outlineLevel="0" collapsed="false">
      <c r="B245" s="4" t="s">
        <v>835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customFormat="false" ht="15" hidden="false" customHeight="false" outlineLevel="0" collapsed="false">
      <c r="B246" s="4" t="s">
        <v>785</v>
      </c>
      <c r="C246" s="4" t="s">
        <v>836</v>
      </c>
      <c r="D246" s="75" t="s">
        <v>788</v>
      </c>
      <c r="E246" s="75" t="s">
        <v>789</v>
      </c>
      <c r="F246" s="75" t="s">
        <v>791</v>
      </c>
    </row>
    <row r="247" customFormat="false" ht="15" hidden="false" customHeight="false" outlineLevel="0" collapsed="false">
      <c r="B247" s="9" t="s">
        <v>531</v>
      </c>
      <c r="C247" s="9" t="s">
        <v>837</v>
      </c>
      <c r="D247" s="116" t="n">
        <v>113</v>
      </c>
      <c r="E247" s="142" t="n">
        <v>-0.13</v>
      </c>
      <c r="F247" s="142" t="n">
        <v>0.442477876106195</v>
      </c>
    </row>
    <row r="248" customFormat="false" ht="15" hidden="false" customHeight="false" outlineLevel="0" collapsed="false">
      <c r="B248" s="9" t="s">
        <v>531</v>
      </c>
      <c r="C248" s="9" t="s">
        <v>838</v>
      </c>
      <c r="D248" s="116" t="n">
        <v>48</v>
      </c>
      <c r="E248" s="142" t="n">
        <v>-0.13</v>
      </c>
      <c r="F248" s="142" t="n">
        <v>0.354166666666667</v>
      </c>
    </row>
    <row r="249" customFormat="false" ht="15" hidden="false" customHeight="false" outlineLevel="0" collapsed="false">
      <c r="B249" s="9" t="s">
        <v>799</v>
      </c>
      <c r="C249" s="9" t="s">
        <v>837</v>
      </c>
      <c r="D249" s="116" t="n">
        <v>176</v>
      </c>
      <c r="E249" s="142" t="n">
        <v>-0.005</v>
      </c>
      <c r="F249" s="142" t="n">
        <v>0.0397727272727273</v>
      </c>
    </row>
    <row r="250" customFormat="false" ht="15" hidden="false" customHeight="false" outlineLevel="0" collapsed="false">
      <c r="B250" s="9" t="s">
        <v>799</v>
      </c>
      <c r="C250" s="9" t="s">
        <v>838</v>
      </c>
      <c r="D250" s="116" t="n">
        <v>202</v>
      </c>
      <c r="E250" s="142" t="n">
        <v>-0.005</v>
      </c>
      <c r="F250" s="142" t="n">
        <v>0.0198019801980198</v>
      </c>
    </row>
    <row r="251" customFormat="false" ht="15" hidden="false" customHeight="false" outlineLevel="0" collapsed="false">
      <c r="B251" s="9" t="s">
        <v>800</v>
      </c>
      <c r="C251" s="9" t="s">
        <v>837</v>
      </c>
      <c r="D251" s="116" t="n">
        <v>168</v>
      </c>
      <c r="E251" s="142" t="n">
        <v>-0.01</v>
      </c>
      <c r="F251" s="142" t="n">
        <v>0.0238095238095238</v>
      </c>
    </row>
    <row r="252" customFormat="false" ht="15" hidden="false" customHeight="false" outlineLevel="0" collapsed="false">
      <c r="B252" s="9" t="s">
        <v>800</v>
      </c>
      <c r="C252" s="9" t="s">
        <v>838</v>
      </c>
      <c r="D252" s="116" t="n">
        <v>63</v>
      </c>
      <c r="E252" s="142" t="n">
        <v>0</v>
      </c>
      <c r="F252" s="142" t="n">
        <v>0.0158730158730159</v>
      </c>
    </row>
    <row r="253" customFormat="false" ht="15" hidden="false" customHeight="false" outlineLevel="0" collapsed="false">
      <c r="B253" s="9" t="s">
        <v>801</v>
      </c>
      <c r="C253" s="9" t="s">
        <v>837</v>
      </c>
      <c r="D253" s="116" t="n">
        <v>67</v>
      </c>
      <c r="E253" s="142" t="n">
        <v>0</v>
      </c>
      <c r="F253" s="142" t="n">
        <v>0.0298507462686567</v>
      </c>
    </row>
    <row r="254" customFormat="false" ht="15" hidden="false" customHeight="false" outlineLevel="0" collapsed="false">
      <c r="B254" s="9" t="s">
        <v>801</v>
      </c>
      <c r="C254" s="9" t="s">
        <v>838</v>
      </c>
      <c r="D254" s="116" t="n">
        <v>100</v>
      </c>
      <c r="E254" s="142" t="n">
        <v>-0.005</v>
      </c>
      <c r="F254" s="142" t="n">
        <v>0.08</v>
      </c>
    </row>
    <row r="255" customFormat="false" ht="15" hidden="false" customHeight="false" outlineLevel="0" collapsed="false">
      <c r="B255" s="19" t="s">
        <v>839</v>
      </c>
      <c r="E255" s="82" t="n">
        <f aca="false">E247-E248</f>
        <v>0</v>
      </c>
      <c r="F255" s="82" t="n">
        <f aca="false">E249-E250</f>
        <v>0</v>
      </c>
    </row>
    <row r="257" customFormat="false" ht="15" hidden="false" customHeight="false" outlineLevel="0" collapsed="false">
      <c r="B257" s="4" t="s">
        <v>840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customFormat="false" ht="15" hidden="false" customHeight="false" outlineLevel="0" collapsed="false">
      <c r="C258" s="130" t="s">
        <v>660</v>
      </c>
      <c r="D258" s="130" t="s">
        <v>661</v>
      </c>
      <c r="E258" s="130" t="s">
        <v>841</v>
      </c>
      <c r="F258" s="130" t="s">
        <v>665</v>
      </c>
    </row>
    <row r="259" customFormat="false" ht="15" hidden="false" customHeight="false" outlineLevel="0" collapsed="false">
      <c r="B259" s="9" t="s">
        <v>842</v>
      </c>
      <c r="C259" s="116" t="n">
        <v>1</v>
      </c>
      <c r="D259" s="116" t="n">
        <v>4</v>
      </c>
      <c r="E259" s="116" t="n">
        <v>6</v>
      </c>
      <c r="F259" s="116" t="n">
        <v>9</v>
      </c>
    </row>
    <row r="260" customFormat="false" ht="15" hidden="false" customHeight="false" outlineLevel="0" collapsed="false">
      <c r="B260" s="9" t="s">
        <v>843</v>
      </c>
      <c r="C260" s="142" t="n">
        <v>0.06</v>
      </c>
      <c r="D260" s="142" t="n">
        <v>0.24</v>
      </c>
    </row>
    <row r="262" customFormat="false" ht="15" hidden="false" customHeight="false" outlineLevel="0" collapsed="false">
      <c r="A262" s="145"/>
      <c r="B262" s="4" t="s">
        <v>844</v>
      </c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</row>
    <row r="263" customFormat="false" ht="15" hidden="false" customHeight="false" outlineLevel="0" collapsed="false">
      <c r="A263" s="145"/>
      <c r="B263" s="4" t="s">
        <v>845</v>
      </c>
      <c r="C263" s="145"/>
      <c r="D263" s="145"/>
      <c r="E263" s="145"/>
      <c r="F263" s="19" t="s">
        <v>177</v>
      </c>
      <c r="G263" s="145"/>
      <c r="H263" s="145"/>
      <c r="I263" s="145"/>
      <c r="J263" s="145"/>
      <c r="K263" s="145"/>
      <c r="L263" s="147"/>
      <c r="M263" s="147"/>
      <c r="N263" s="147"/>
      <c r="O263" s="147"/>
      <c r="P263" s="147"/>
      <c r="Q263" s="147"/>
    </row>
    <row r="264" customFormat="false" ht="15" hidden="false" customHeight="false" outlineLevel="0" collapsed="false">
      <c r="A264" s="145"/>
      <c r="B264" s="9" t="s">
        <v>846</v>
      </c>
      <c r="C264" s="145"/>
      <c r="D264" s="145"/>
      <c r="E264" s="145"/>
      <c r="F264" s="11" t="n">
        <f aca="false">SUMPRODUCT(($B$8:$B$114="Norwegian")*($C$8:$C$114="Caribbean/Bahamas")*$E$8:$E$114*$I$8:$I$114)/SUMPRODUCT(($B$8:$B$114="Norwegian")*($C$8:$C$114="Caribbean/Bahamas")*$E$8:$E$114)</f>
        <v>0.708074534161491</v>
      </c>
      <c r="G264" s="145"/>
      <c r="H264" s="145"/>
      <c r="I264" s="145"/>
      <c r="J264" s="145"/>
      <c r="K264" s="145"/>
      <c r="L264" s="148"/>
      <c r="M264" s="148"/>
      <c r="N264" s="148"/>
      <c r="O264" s="148"/>
      <c r="P264" s="148"/>
      <c r="Q264" s="148"/>
    </row>
    <row r="265" customFormat="false" ht="15" hidden="false" customHeight="false" outlineLevel="0" collapsed="false">
      <c r="A265" s="145"/>
      <c r="B265" s="9" t="s">
        <v>847</v>
      </c>
      <c r="C265" s="145"/>
      <c r="D265" s="145"/>
      <c r="E265" s="145"/>
      <c r="F265" s="11" t="n">
        <f aca="false">SUMPRODUCT(($B$8:$B$114="Royal Caribbean")*($C$8:$C$114="Caribbean/Bahamas")*$E$8:$E$114*$I$8:$I$114)/SUMPRODUCT(($B$8:$B$114="Royal Caribbean")*($C$8:$C$114="Caribbean/Bahamas")*$E$8:$E$114)</f>
        <v>0.452380952380952</v>
      </c>
      <c r="G265" s="145"/>
      <c r="H265" s="145"/>
      <c r="I265" s="145"/>
      <c r="J265" s="145"/>
      <c r="K265" s="145"/>
      <c r="L265" s="149"/>
      <c r="M265" s="149"/>
      <c r="N265" s="149"/>
      <c r="O265" s="149"/>
      <c r="P265" s="149"/>
      <c r="Q265" s="149"/>
    </row>
    <row r="266" customFormat="false" ht="15" hidden="false" customHeight="false" outlineLevel="0" collapsed="false">
      <c r="A266" s="145"/>
      <c r="B266" s="9" t="s">
        <v>848</v>
      </c>
      <c r="C266" s="145"/>
      <c r="D266" s="145"/>
      <c r="E266" s="145"/>
      <c r="F266" s="11" t="n">
        <f aca="false">SUMPRODUCT(($B$8:$B$114="Carnival")*($C$8:$C$114="Caribbean/Bahamas")*$E$8:$E$114*$I$8:$I$114)/SUMPRODUCT(($B$8:$B$114="Carnival")*($C$8:$C$114="Caribbean/Bahamas")*$E$8:$E$114)</f>
        <v>0.45021645021645</v>
      </c>
      <c r="G266" s="145"/>
      <c r="H266" s="145"/>
      <c r="I266" s="145"/>
      <c r="J266" s="145"/>
      <c r="K266" s="145"/>
      <c r="L266" s="149"/>
      <c r="M266" s="149"/>
      <c r="N266" s="149"/>
      <c r="O266" s="149"/>
      <c r="P266" s="149"/>
      <c r="Q266" s="149"/>
    </row>
    <row r="267" customFormat="false" ht="15" hidden="false" customHeight="false" outlineLevel="0" collapsed="false">
      <c r="A267" s="145"/>
      <c r="B267" s="9" t="s">
        <v>849</v>
      </c>
      <c r="C267" s="145"/>
      <c r="D267" s="145"/>
      <c r="E267" s="145"/>
      <c r="F267" s="11" t="n">
        <f aca="false">G158</f>
        <v>0.769230769230769</v>
      </c>
      <c r="G267" s="145"/>
      <c r="H267" s="145"/>
      <c r="I267" s="145"/>
      <c r="J267" s="145"/>
      <c r="K267" s="145"/>
      <c r="L267" s="149"/>
      <c r="M267" s="149"/>
      <c r="N267" s="149"/>
      <c r="O267" s="149"/>
      <c r="P267" s="149"/>
      <c r="Q267" s="149"/>
    </row>
    <row r="268" customFormat="false" ht="15" hidden="false" customHeight="false" outlineLevel="0" collapsed="false">
      <c r="A268" s="145"/>
      <c r="B268" s="9" t="s">
        <v>847</v>
      </c>
      <c r="C268" s="145"/>
      <c r="D268" s="145"/>
      <c r="E268" s="145"/>
      <c r="F268" s="11" t="n">
        <f aca="false">G161</f>
        <v>0.0714285714285714</v>
      </c>
      <c r="G268" s="145"/>
      <c r="H268" s="145"/>
      <c r="I268" s="145"/>
      <c r="J268" s="145"/>
      <c r="K268" s="145"/>
      <c r="L268" s="149"/>
      <c r="M268" s="149"/>
      <c r="N268" s="149"/>
      <c r="O268" s="149"/>
      <c r="P268" s="149"/>
      <c r="Q268" s="149"/>
    </row>
    <row r="269" customFormat="false" ht="15" hidden="false" customHeight="false" outlineLevel="0" collapsed="false">
      <c r="A269" s="145"/>
      <c r="B269" s="9" t="s">
        <v>848</v>
      </c>
      <c r="C269" s="145"/>
      <c r="D269" s="145"/>
      <c r="E269" s="145"/>
      <c r="F269" s="11" t="n">
        <f aca="false">G164</f>
        <v>0</v>
      </c>
      <c r="G269" s="145"/>
      <c r="H269" s="145"/>
      <c r="I269" s="145"/>
      <c r="J269" s="145"/>
      <c r="K269" s="145"/>
      <c r="L269" s="149"/>
      <c r="M269" s="149"/>
      <c r="N269" s="149"/>
      <c r="O269" s="149"/>
      <c r="P269" s="149"/>
      <c r="Q269" s="149"/>
    </row>
    <row r="270" customFormat="false" ht="15" hidden="false" customHeight="false" outlineLevel="0" collapsed="false">
      <c r="A270" s="145"/>
      <c r="B270" s="9" t="s">
        <v>850</v>
      </c>
      <c r="C270" s="145"/>
      <c r="D270" s="145"/>
      <c r="E270" s="145"/>
      <c r="F270" s="11" t="n">
        <f aca="false">F158</f>
        <v>-0.34</v>
      </c>
      <c r="G270" s="145"/>
      <c r="H270" s="145"/>
      <c r="I270" s="145"/>
      <c r="J270" s="145"/>
      <c r="K270" s="145"/>
      <c r="L270" s="149"/>
      <c r="M270" s="149"/>
      <c r="N270" s="149"/>
      <c r="O270" s="149"/>
      <c r="P270" s="149"/>
      <c r="Q270" s="149"/>
    </row>
    <row r="271" customFormat="false" ht="15" hidden="false" customHeight="false" outlineLevel="0" collapsed="false">
      <c r="A271" s="145"/>
      <c r="B271" s="9" t="s">
        <v>851</v>
      </c>
      <c r="C271" s="145"/>
      <c r="D271" s="145"/>
      <c r="E271" s="145"/>
      <c r="F271" s="107" t="n">
        <v>-0.22</v>
      </c>
      <c r="G271" s="145"/>
      <c r="H271" s="145"/>
      <c r="I271" s="145"/>
      <c r="J271" s="145"/>
      <c r="K271" s="145"/>
      <c r="L271" s="149"/>
      <c r="M271" s="149"/>
      <c r="N271" s="149"/>
      <c r="O271" s="149"/>
      <c r="P271" s="149"/>
      <c r="Q271" s="149"/>
    </row>
    <row r="272" customFormat="false" ht="15" hidden="false" customHeight="false" outlineLevel="0" collapsed="false">
      <c r="A272" s="145"/>
      <c r="B272" s="9" t="s">
        <v>852</v>
      </c>
      <c r="C272" s="145"/>
      <c r="D272" s="145"/>
      <c r="E272" s="145"/>
      <c r="F272" s="107" t="n">
        <v>-0.01</v>
      </c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</row>
    <row r="273" customFormat="false" ht="15" hidden="false" customHeight="false" outlineLevel="0" collapsed="false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9"/>
      <c r="M273" s="149"/>
      <c r="N273" s="149"/>
      <c r="O273" s="149"/>
      <c r="P273" s="149"/>
      <c r="Q273" s="149"/>
    </row>
    <row r="274" customFormat="false" ht="15" hidden="false" customHeight="false" outlineLevel="0" collapsed="false">
      <c r="A274" s="145"/>
      <c r="B274" s="19" t="s">
        <v>853</v>
      </c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</row>
    <row r="275" customFormat="false" ht="15" hidden="false" customHeight="false" outlineLevel="0" collapsed="false">
      <c r="A275" s="145"/>
      <c r="B275" s="19" t="s">
        <v>785</v>
      </c>
      <c r="C275" s="145"/>
      <c r="D275" s="19" t="s">
        <v>854</v>
      </c>
      <c r="E275" s="145"/>
      <c r="F275" s="19" t="s">
        <v>855</v>
      </c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</row>
    <row r="276" customFormat="false" ht="15" hidden="false" customHeight="false" outlineLevel="0" collapsed="false">
      <c r="A276" s="145"/>
      <c r="B276" s="9" t="s">
        <v>856</v>
      </c>
      <c r="C276" s="148"/>
      <c r="D276" s="9" t="s">
        <v>857</v>
      </c>
      <c r="E276" s="148"/>
      <c r="F276" s="9" t="s">
        <v>858</v>
      </c>
      <c r="G276" s="148"/>
      <c r="H276" s="145"/>
      <c r="I276" s="148"/>
      <c r="J276" s="145"/>
      <c r="K276" s="148"/>
      <c r="L276" s="145"/>
      <c r="M276" s="145"/>
      <c r="N276" s="145"/>
      <c r="O276" s="145"/>
      <c r="P276" s="145"/>
      <c r="Q276" s="145"/>
    </row>
    <row r="277" customFormat="false" ht="15" hidden="false" customHeight="false" outlineLevel="0" collapsed="false">
      <c r="A277" s="145"/>
      <c r="B277" s="9" t="s">
        <v>799</v>
      </c>
      <c r="C277" s="149"/>
      <c r="D277" s="9" t="s">
        <v>857</v>
      </c>
      <c r="E277" s="149"/>
      <c r="F277" s="9" t="s">
        <v>859</v>
      </c>
      <c r="G277" s="149"/>
      <c r="H277" s="145"/>
      <c r="I277" s="149"/>
      <c r="J277" s="145"/>
      <c r="K277" s="149"/>
      <c r="L277" s="145"/>
      <c r="M277" s="145"/>
      <c r="N277" s="145"/>
      <c r="O277" s="145"/>
      <c r="P277" s="145"/>
      <c r="Q277" s="145"/>
    </row>
    <row r="278" customFormat="false" ht="15" hidden="false" customHeight="false" outlineLevel="0" collapsed="false">
      <c r="A278" s="145"/>
      <c r="B278" s="9" t="s">
        <v>860</v>
      </c>
      <c r="C278" s="145"/>
      <c r="D278" s="9" t="s">
        <v>861</v>
      </c>
      <c r="E278" s="145"/>
      <c r="F278" s="9" t="s">
        <v>862</v>
      </c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</row>
    <row r="279" customFormat="false" ht="15" hidden="false" customHeight="false" outlineLevel="0" collapsed="false">
      <c r="A279" s="145"/>
      <c r="B279" s="9" t="s">
        <v>802</v>
      </c>
      <c r="C279" s="145"/>
      <c r="D279" s="9" t="s">
        <v>857</v>
      </c>
      <c r="E279" s="145"/>
      <c r="F279" s="9" t="s">
        <v>863</v>
      </c>
      <c r="G279" s="145"/>
      <c r="H279" s="145"/>
      <c r="I279" s="145"/>
      <c r="J279" s="145"/>
      <c r="K279" s="145"/>
      <c r="L279" s="150"/>
      <c r="M279" s="150"/>
      <c r="N279" s="150"/>
      <c r="O279" s="150"/>
      <c r="P279" s="150"/>
      <c r="Q279" s="150"/>
    </row>
    <row r="280" customFormat="false" ht="15" hidden="false" customHeight="false" outlineLevel="0" collapsed="false">
      <c r="A280" s="145"/>
      <c r="B280" s="9" t="s">
        <v>803</v>
      </c>
      <c r="C280" s="145"/>
      <c r="D280" s="9" t="s">
        <v>864</v>
      </c>
      <c r="E280" s="145"/>
      <c r="F280" s="9" t="s">
        <v>865</v>
      </c>
      <c r="G280" s="145"/>
      <c r="H280" s="145"/>
      <c r="I280" s="145"/>
      <c r="J280" s="145"/>
      <c r="K280" s="145"/>
      <c r="L280" s="149"/>
      <c r="M280" s="149"/>
      <c r="N280" s="149"/>
      <c r="O280" s="149"/>
      <c r="P280" s="149"/>
      <c r="Q280" s="149"/>
    </row>
    <row r="281" customFormat="false" ht="15" hidden="false" customHeight="false" outlineLevel="0" collapsed="false">
      <c r="A281" s="145"/>
      <c r="B281" s="9" t="s">
        <v>801</v>
      </c>
      <c r="C281" s="145"/>
      <c r="D281" s="9" t="s">
        <v>866</v>
      </c>
      <c r="E281" s="145"/>
      <c r="F281" s="9" t="s">
        <v>867</v>
      </c>
      <c r="G281" s="145"/>
      <c r="H281" s="145"/>
      <c r="I281" s="145"/>
      <c r="J281" s="145"/>
      <c r="K281" s="145"/>
      <c r="L281" s="149"/>
      <c r="M281" s="149"/>
      <c r="N281" s="149"/>
      <c r="O281" s="149"/>
      <c r="P281" s="149"/>
      <c r="Q281" s="149"/>
    </row>
    <row r="282" customFormat="false" ht="15" hidden="false" customHeight="false" outlineLevel="0" collapsed="false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9"/>
      <c r="M282" s="149"/>
      <c r="N282" s="149"/>
      <c r="O282" s="149"/>
      <c r="P282" s="149"/>
      <c r="Q282" s="149"/>
    </row>
    <row r="283" customFormat="false" ht="15" hidden="false" customHeight="false" outlineLevel="0" collapsed="false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9"/>
      <c r="M283" s="149"/>
      <c r="N283" s="149"/>
      <c r="O283" s="149"/>
      <c r="P283" s="149"/>
      <c r="Q283" s="149"/>
    </row>
    <row r="284" customFormat="false" ht="15" hidden="false" customHeight="false" outlineLevel="0" collapsed="false">
      <c r="A284" s="145"/>
      <c r="B284" s="19" t="s">
        <v>868</v>
      </c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</row>
    <row r="285" customFormat="false" ht="15" hidden="false" customHeight="false" outlineLevel="0" collapsed="false">
      <c r="A285" s="145"/>
      <c r="B285" s="19" t="s">
        <v>199</v>
      </c>
      <c r="C285" s="19" t="s">
        <v>869</v>
      </c>
      <c r="D285" s="19" t="s">
        <v>799</v>
      </c>
      <c r="E285" s="19" t="s">
        <v>800</v>
      </c>
      <c r="F285" s="145"/>
      <c r="G285" s="145"/>
      <c r="H285" s="145"/>
      <c r="I285" s="145"/>
      <c r="J285" s="145"/>
      <c r="K285" s="145"/>
      <c r="L285" s="149"/>
      <c r="M285" s="149"/>
      <c r="N285" s="149"/>
      <c r="O285" s="149"/>
      <c r="P285" s="149"/>
      <c r="Q285" s="149"/>
    </row>
    <row r="286" customFormat="false" ht="15" hidden="false" customHeight="false" outlineLevel="0" collapsed="false">
      <c r="A286" s="145"/>
      <c r="B286" s="151" t="str">
        <f aca="false">Deposits!B48</f>
        <v>2024-06-30</v>
      </c>
      <c r="C286" s="24" t="n">
        <f aca="false">Deposits!D48</f>
        <v>0.129522468241214</v>
      </c>
      <c r="D286" s="24" t="n">
        <f aca="false">Deposits!F48</f>
        <v>0.100180556453532</v>
      </c>
      <c r="E286" s="24" t="n">
        <f aca="false">Deposits!I48</f>
        <v>0.143789901334881</v>
      </c>
      <c r="F286" s="145"/>
      <c r="G286" s="145"/>
      <c r="H286" s="145"/>
      <c r="I286" s="145"/>
      <c r="J286" s="145"/>
      <c r="K286" s="145"/>
      <c r="L286" s="149"/>
      <c r="M286" s="149"/>
      <c r="N286" s="149"/>
      <c r="O286" s="149"/>
      <c r="P286" s="149"/>
      <c r="Q286" s="149"/>
    </row>
    <row r="287" customFormat="false" ht="15" hidden="false" customHeight="false" outlineLevel="0" collapsed="false">
      <c r="A287" s="145"/>
      <c r="B287" s="151" t="str">
        <f aca="false">Deposits!B49</f>
        <v>2024-09-30</v>
      </c>
      <c r="C287" s="24" t="n">
        <f aca="false">Deposits!D49</f>
        <v>0.0604684886418818</v>
      </c>
      <c r="D287" s="24" t="n">
        <f aca="false">Deposits!F49</f>
        <v>0.0579596560478568</v>
      </c>
      <c r="E287" s="24" t="n">
        <f aca="false">Deposits!I49</f>
        <v>0.0807724601175484</v>
      </c>
      <c r="F287" s="145"/>
      <c r="G287" s="145"/>
      <c r="H287" s="145"/>
      <c r="I287" s="145"/>
      <c r="J287" s="145"/>
      <c r="K287" s="145"/>
      <c r="L287" s="149"/>
      <c r="M287" s="149"/>
      <c r="N287" s="149"/>
      <c r="O287" s="149"/>
      <c r="P287" s="149"/>
      <c r="Q287" s="149"/>
    </row>
    <row r="288" customFormat="false" ht="15" hidden="false" customHeight="false" outlineLevel="0" collapsed="false">
      <c r="A288" s="145"/>
      <c r="B288" s="151" t="str">
        <f aca="false">Deposits!B50</f>
        <v>2024-12-31</v>
      </c>
      <c r="C288" s="24" t="n">
        <f aca="false">Deposits!D50</f>
        <v>0.0148000467872025</v>
      </c>
      <c r="D288" s="24" t="n">
        <f aca="false">Deposits!F50</f>
        <v>0.034833364714743</v>
      </c>
      <c r="E288" s="24" t="n">
        <f aca="false">Deposits!I50</f>
        <v>0.0581357048748352</v>
      </c>
      <c r="F288" s="145"/>
      <c r="G288" s="145"/>
      <c r="H288" s="145"/>
      <c r="I288" s="145"/>
      <c r="J288" s="145"/>
      <c r="K288" s="145"/>
      <c r="L288" s="149"/>
      <c r="M288" s="149"/>
      <c r="N288" s="149"/>
      <c r="O288" s="149"/>
      <c r="P288" s="149"/>
      <c r="Q288" s="149"/>
    </row>
    <row r="289" customFormat="false" ht="15" hidden="false" customHeight="false" outlineLevel="0" collapsed="false">
      <c r="A289" s="145"/>
      <c r="B289" s="151" t="str">
        <f aca="false">Deposits!B51</f>
        <v>2025-03-31</v>
      </c>
      <c r="C289" s="24" t="n">
        <f aca="false">Deposits!D51</f>
        <v>0.0365178236149639</v>
      </c>
      <c r="D289" s="24" t="n">
        <f aca="false">Deposits!F51</f>
        <v>0.0486754966887417</v>
      </c>
      <c r="E289" s="24" t="n">
        <f aca="false">Deposits!I51</f>
        <v>0.0317675398976212</v>
      </c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</row>
    <row r="290" customFormat="false" ht="15" hidden="false" customHeight="false" outlineLevel="0" collapsed="false">
      <c r="A290" s="145"/>
      <c r="B290" s="152" t="str">
        <f aca="false">Deposits!B52</f>
        <v>2025-06-30</v>
      </c>
      <c r="C290" s="13" t="n">
        <f aca="false">Deposits!D52</f>
        <v>0.0144626300468442</v>
      </c>
      <c r="D290" s="13" t="n">
        <f aca="false">Deposits!F52</f>
        <v>0.0214571657325862</v>
      </c>
      <c r="E290" s="13" t="n">
        <f aca="false">Deposits!I52</f>
        <v>0.0252441963719396</v>
      </c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</row>
    <row r="291" customFormat="false" ht="15" hidden="false" customHeight="false" outlineLevel="0" collapsed="false">
      <c r="A291" s="145"/>
      <c r="B291" s="151" t="str">
        <f aca="false">Deposits!B53</f>
        <v>2025-09-30</v>
      </c>
      <c r="C291" s="24" t="n">
        <f aca="false">Deposits!D53</f>
        <v>0.000726009719562493</v>
      </c>
      <c r="D291" s="24" t="n">
        <f aca="false">Deposits!F53</f>
        <v>0.0525920360631105</v>
      </c>
      <c r="E291" s="24" t="n">
        <f aca="false">Deposits!I53</f>
        <v>0.0396208825357365</v>
      </c>
      <c r="F291" s="145"/>
      <c r="G291" s="145"/>
      <c r="H291" s="145"/>
      <c r="I291" s="145"/>
      <c r="J291" s="145"/>
      <c r="K291" s="145"/>
      <c r="L291" s="147"/>
      <c r="M291" s="147"/>
      <c r="N291" s="147"/>
      <c r="O291" s="147"/>
      <c r="P291" s="147"/>
      <c r="Q291" s="147"/>
    </row>
    <row r="292" customFormat="false" ht="15" hidden="false" customHeight="false" outlineLevel="0" collapsed="false">
      <c r="A292" s="145"/>
      <c r="B292" s="151" t="str">
        <f aca="false">Deposits!B54</f>
        <v>2025-12-31</v>
      </c>
      <c r="C292" s="24" t="n">
        <f aca="false">Deposits!D54</f>
        <v>0.0304668695451718</v>
      </c>
      <c r="D292" s="24" t="n">
        <f aca="false">Deposits!F54</f>
        <v>0.0442139737991267</v>
      </c>
      <c r="E292" s="24" t="n">
        <f aca="false">Deposits!I54</f>
        <v>0.0631906614785993</v>
      </c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</row>
    <row r="293" customFormat="false" ht="15" hidden="false" customHeight="false" outlineLevel="0" collapsed="false">
      <c r="A293" s="145"/>
      <c r="B293" s="151" t="str">
        <f aca="false">Deposits!B55</f>
        <v>2026-03-31</v>
      </c>
      <c r="C293" s="24" t="n">
        <f aca="false">Deposits!D55</f>
        <v>-0.0115311132469454</v>
      </c>
      <c r="D293" s="24" t="n">
        <f aca="false">Deposits!F55</f>
        <v>0.0337859172718662</v>
      </c>
      <c r="E293" s="24" t="n">
        <f aca="false">Deposits!I55</f>
        <v>0.0903254049321465</v>
      </c>
      <c r="F293" s="145"/>
      <c r="G293" s="145"/>
      <c r="H293" s="145"/>
      <c r="I293" s="145"/>
      <c r="J293" s="145"/>
      <c r="K293" s="145"/>
      <c r="L293" s="149"/>
      <c r="M293" s="149"/>
      <c r="N293" s="149"/>
      <c r="O293" s="149"/>
      <c r="P293" s="149"/>
      <c r="Q293" s="149"/>
    </row>
    <row r="294" customFormat="false" ht="15" hidden="false" customHeight="false" outlineLevel="0" collapsed="false">
      <c r="A294" s="145"/>
      <c r="B294" s="151" t="str">
        <f aca="false">Deposits!B56</f>
        <v>2026-06-30</v>
      </c>
      <c r="C294" s="24" t="n">
        <f aca="false">Deposits!D56</f>
        <v>-0.0476225130582781</v>
      </c>
      <c r="D294" s="24" t="n">
        <f aca="false">Deposits!F56</f>
        <v>0.0559648847781784</v>
      </c>
      <c r="E294" s="24" t="n">
        <f aca="false">Deposits!I56</f>
        <v>0.0463994060876021</v>
      </c>
      <c r="F294" s="145"/>
      <c r="G294" s="145"/>
      <c r="H294" s="145"/>
      <c r="I294" s="145"/>
      <c r="J294" s="145"/>
      <c r="K294" s="145"/>
      <c r="L294" s="149"/>
      <c r="M294" s="145"/>
      <c r="N294" s="145"/>
      <c r="O294" s="145"/>
      <c r="P294" s="145"/>
      <c r="Q294" s="145"/>
    </row>
    <row r="295" customFormat="false" ht="15" hidden="false" customHeight="false" outlineLevel="0" collapsed="false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9"/>
      <c r="M295" s="149"/>
      <c r="N295" s="149"/>
      <c r="O295" s="149"/>
      <c r="P295" s="149"/>
      <c r="Q295" s="149"/>
    </row>
    <row r="296" customFormat="false" ht="15" hidden="false" customHeight="false" outlineLevel="0" collapsed="false">
      <c r="A296" s="145"/>
      <c r="B296" s="22" t="s">
        <v>870</v>
      </c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</row>
    <row r="297" customFormat="false" ht="15" hidden="false" customHeight="false" outlineLevel="0" collapsed="false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</row>
    <row r="298" customFormat="false" ht="15" hidden="false" customHeight="false" outlineLevel="0" collapsed="false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53"/>
      <c r="M298" s="145"/>
      <c r="N298" s="145"/>
      <c r="O298" s="145"/>
      <c r="P298" s="145"/>
      <c r="Q298" s="145"/>
    </row>
    <row r="299" customFormat="false" ht="15" hidden="false" customHeight="false" outlineLevel="0" collapsed="false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9"/>
      <c r="M299" s="149"/>
      <c r="N299" s="149"/>
      <c r="O299" s="149"/>
      <c r="P299" s="149"/>
      <c r="Q299" s="149"/>
    </row>
    <row r="300" customFormat="false" ht="15" hidden="false" customHeight="false" outlineLevel="0" collapsed="false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9"/>
      <c r="M300" s="149"/>
      <c r="N300" s="149"/>
      <c r="O300" s="149"/>
      <c r="P300" s="149"/>
      <c r="Q300" s="149"/>
    </row>
    <row r="301" customFormat="false" ht="15" hidden="false" customHeight="false" outlineLevel="0" collapsed="false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53"/>
      <c r="M301" s="153"/>
      <c r="N301" s="153"/>
      <c r="O301" s="153"/>
      <c r="P301" s="153"/>
      <c r="Q301" s="153"/>
    </row>
    <row r="302" customFormat="false" ht="15" hidden="false" customHeight="false" outlineLevel="0" collapsed="false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</row>
    <row r="303" customFormat="false" ht="15" hidden="false" customHeight="false" outlineLevel="0" collapsed="false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</row>
    <row r="304" customFormat="false" ht="15" hidden="false" customHeight="false" outlineLevel="0" collapsed="false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54"/>
      <c r="M304" s="145"/>
      <c r="N304" s="145"/>
      <c r="O304" s="145"/>
      <c r="P304" s="145"/>
      <c r="Q304" s="145"/>
    </row>
    <row r="305" customFormat="false" ht="15" hidden="false" customHeight="false" outlineLevel="0" collapsed="false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9"/>
      <c r="M305" s="145"/>
      <c r="N305" s="145"/>
      <c r="O305" s="145"/>
      <c r="P305" s="145"/>
      <c r="Q305" s="145"/>
    </row>
    <row r="306" customFormat="false" ht="15" hidden="false" customHeight="false" outlineLevel="0" collapsed="false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9"/>
      <c r="M306" s="145"/>
      <c r="N306" s="145"/>
      <c r="O306" s="145"/>
      <c r="P306" s="145"/>
      <c r="Q306" s="145"/>
    </row>
    <row r="307" customFormat="false" ht="15" hidden="false" customHeight="false" outlineLevel="0" collapsed="false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9"/>
      <c r="M307" s="145"/>
      <c r="N307" s="145"/>
      <c r="O307" s="145"/>
      <c r="P307" s="145"/>
      <c r="Q307" s="145"/>
    </row>
    <row r="308" customFormat="false" ht="15" hidden="false" customHeight="false" outlineLevel="0" collapsed="false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54"/>
      <c r="M308" s="145"/>
      <c r="N308" s="145"/>
      <c r="O308" s="145"/>
      <c r="P308" s="145"/>
      <c r="Q308" s="145"/>
    </row>
    <row r="309" customFormat="false" ht="15" hidden="false" customHeight="false" outlineLevel="0" collapsed="false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9"/>
      <c r="M309" s="149"/>
      <c r="N309" s="149"/>
      <c r="O309" s="149"/>
      <c r="P309" s="149"/>
      <c r="Q309" s="149"/>
    </row>
    <row r="310" customFormat="false" ht="15" hidden="false" customHeight="false" outlineLevel="0" collapsed="false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9"/>
      <c r="M310" s="149"/>
      <c r="N310" s="149"/>
      <c r="O310" s="149"/>
      <c r="P310" s="149"/>
      <c r="Q310" s="149"/>
    </row>
    <row r="311" customFormat="false" ht="15" hidden="false" customHeight="false" outlineLevel="0" collapsed="false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9"/>
      <c r="M311" s="149"/>
      <c r="N311" s="149"/>
      <c r="O311" s="149"/>
      <c r="P311" s="149"/>
      <c r="Q311" s="149"/>
    </row>
    <row r="312" customFormat="false" ht="15" hidden="false" customHeight="false" outlineLevel="0" collapsed="false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9"/>
      <c r="M312" s="149"/>
      <c r="N312" s="149"/>
      <c r="O312" s="149"/>
      <c r="P312" s="149"/>
      <c r="Q312" s="149"/>
    </row>
    <row r="313" customFormat="false" ht="15" hidden="false" customHeight="false" outlineLevel="0" collapsed="false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55"/>
      <c r="M313" s="155"/>
      <c r="N313" s="155"/>
      <c r="O313" s="155"/>
      <c r="P313" s="155"/>
      <c r="Q313" s="155"/>
    </row>
    <row r="314" customFormat="false" ht="15" hidden="false" customHeight="false" outlineLevel="0" collapsed="false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55"/>
      <c r="M314" s="155"/>
      <c r="N314" s="155"/>
      <c r="O314" s="155"/>
      <c r="P314" s="155"/>
      <c r="Q314" s="155"/>
    </row>
    <row r="315" customFormat="false" ht="15" hidden="false" customHeight="false" outlineLevel="0" collapsed="false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55"/>
      <c r="M315" s="155"/>
      <c r="N315" s="155"/>
      <c r="O315" s="155"/>
      <c r="P315" s="155"/>
      <c r="Q315" s="155"/>
    </row>
    <row r="316" customFormat="false" ht="15" hidden="false" customHeight="false" outlineLevel="0" collapsed="false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53"/>
      <c r="M316" s="153"/>
      <c r="N316" s="153"/>
      <c r="O316" s="153"/>
      <c r="P316" s="153"/>
      <c r="Q316" s="153"/>
    </row>
    <row r="317" customFormat="false" ht="15" hidden="false" customHeight="false" outlineLevel="0" collapsed="false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9"/>
      <c r="M317" s="149"/>
      <c r="N317" s="149"/>
      <c r="O317" s="149"/>
      <c r="P317" s="149"/>
      <c r="Q317" s="149"/>
    </row>
    <row r="318" customFormat="false" ht="15" hidden="false" customHeight="false" outlineLevel="0" collapsed="false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9"/>
      <c r="M318" s="149"/>
      <c r="N318" s="149"/>
      <c r="O318" s="149"/>
      <c r="P318" s="149"/>
      <c r="Q318" s="149"/>
    </row>
    <row r="319" customFormat="false" ht="15" hidden="false" customHeight="false" outlineLevel="0" collapsed="false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55"/>
      <c r="M319" s="145"/>
      <c r="N319" s="145"/>
      <c r="O319" s="145"/>
      <c r="P319" s="145"/>
      <c r="Q319" s="145"/>
    </row>
    <row r="320" customFormat="false" ht="15" hidden="false" customHeight="false" outlineLevel="0" collapsed="false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53"/>
      <c r="M320" s="145"/>
      <c r="N320" s="145"/>
      <c r="O320" s="145"/>
      <c r="P320" s="145"/>
      <c r="Q320" s="145"/>
    </row>
    <row r="321" customFormat="false" ht="15" hidden="false" customHeight="false" outlineLevel="0" collapsed="false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</row>
    <row r="322" customFormat="false" ht="15" hidden="false" customHeight="false" outlineLevel="0" collapsed="false">
      <c r="A322" s="145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</row>
    <row r="323" customFormat="false" ht="15" hidden="false" customHeight="false" outlineLevel="0" collapsed="false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9"/>
      <c r="M323" s="145"/>
      <c r="N323" s="145"/>
      <c r="O323" s="145"/>
      <c r="P323" s="145"/>
      <c r="Q323" s="145"/>
    </row>
    <row r="324" customFormat="false" ht="15" hidden="false" customHeight="false" outlineLevel="0" collapsed="false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9"/>
      <c r="M324" s="145"/>
      <c r="N324" s="145"/>
      <c r="O324" s="145"/>
      <c r="P324" s="145"/>
      <c r="Q324" s="145"/>
    </row>
    <row r="325" customFormat="false" ht="15" hidden="false" customHeight="false" outlineLevel="0" collapsed="false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9"/>
      <c r="M325" s="145"/>
      <c r="N325" s="145"/>
      <c r="O325" s="145"/>
      <c r="P325" s="145"/>
      <c r="Q325" s="145"/>
    </row>
    <row r="326" customFormat="false" ht="15" hidden="false" customHeight="false" outlineLevel="0" collapsed="false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54"/>
      <c r="M326" s="145"/>
      <c r="N326" s="145"/>
      <c r="O326" s="145"/>
      <c r="P326" s="145"/>
      <c r="Q326" s="145"/>
    </row>
    <row r="327" customFormat="false" ht="15" hidden="false" customHeight="false" outlineLevel="0" collapsed="false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56"/>
      <c r="M327" s="145"/>
      <c r="N327" s="145"/>
      <c r="O327" s="145"/>
      <c r="P327" s="145"/>
      <c r="Q327" s="145"/>
    </row>
    <row r="328" customFormat="false" ht="15" hidden="false" customHeight="false" outlineLevel="0" collapsed="false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</row>
    <row r="329" customFormat="false" ht="15" hidden="false" customHeight="false" outlineLevel="0" collapsed="false">
      <c r="A329" s="145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</row>
    <row r="330" customFormat="false" ht="15" hidden="false" customHeight="false" outlineLevel="0" collapsed="false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7"/>
      <c r="M330" s="147"/>
      <c r="N330" s="147"/>
      <c r="O330" s="147"/>
      <c r="P330" s="147"/>
      <c r="Q330" s="147"/>
    </row>
    <row r="331" customFormat="false" ht="15" hidden="false" customHeight="false" outlineLevel="0" collapsed="false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9"/>
      <c r="M331" s="149"/>
      <c r="N331" s="149"/>
      <c r="O331" s="149"/>
      <c r="P331" s="149"/>
      <c r="Q331" s="149"/>
    </row>
    <row r="332" customFormat="false" ht="15" hidden="false" customHeight="false" outlineLevel="0" collapsed="false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9"/>
      <c r="M332" s="149"/>
      <c r="N332" s="149"/>
      <c r="O332" s="149"/>
      <c r="P332" s="149"/>
      <c r="Q332" s="149"/>
    </row>
    <row r="333" customFormat="false" ht="15" hidden="false" customHeight="false" outlineLevel="0" collapsed="false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9"/>
      <c r="M333" s="149"/>
      <c r="N333" s="149"/>
      <c r="O333" s="149"/>
      <c r="P333" s="149"/>
      <c r="Q333" s="149"/>
    </row>
    <row r="334" customFormat="false" ht="15" hidden="false" customHeight="false" outlineLevel="0" collapsed="false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9"/>
      <c r="M334" s="149"/>
      <c r="N334" s="149"/>
      <c r="O334" s="149"/>
      <c r="P334" s="149"/>
      <c r="Q334" s="149"/>
    </row>
    <row r="335" customFormat="false" ht="15" hidden="false" customHeight="false" outlineLevel="0" collapsed="false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9"/>
      <c r="M335" s="149"/>
      <c r="N335" s="149"/>
      <c r="O335" s="149"/>
      <c r="P335" s="149"/>
      <c r="Q335" s="149"/>
    </row>
    <row r="336" customFormat="false" ht="15" hidden="false" customHeight="false" outlineLevel="0" collapsed="false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53"/>
      <c r="M336" s="153"/>
      <c r="N336" s="153"/>
      <c r="O336" s="153"/>
      <c r="P336" s="153"/>
      <c r="Q336" s="153"/>
    </row>
    <row r="337" customFormat="false" ht="15" hidden="false" customHeight="false" outlineLevel="0" collapsed="false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53"/>
      <c r="M337" s="153"/>
      <c r="N337" s="153"/>
      <c r="O337" s="153"/>
      <c r="P337" s="153"/>
      <c r="Q337" s="153"/>
    </row>
    <row r="338" customFormat="false" ht="15" hidden="false" customHeight="false" outlineLevel="0" collapsed="false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</row>
    <row r="339" customFormat="false" ht="15" hidden="false" customHeight="false" outlineLevel="0" collapsed="false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</row>
    <row r="340" customFormat="false" ht="15" hidden="false" customHeight="false" outlineLevel="0" collapsed="false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</row>
    <row r="341" customFormat="false" ht="15" hidden="false" customHeight="false" outlineLevel="0" collapsed="false">
      <c r="A341" s="145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</row>
    <row r="342" customFormat="false" ht="15" hidden="false" customHeight="false" outlineLevel="0" collapsed="false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7"/>
      <c r="M342" s="147"/>
      <c r="N342" s="147"/>
      <c r="O342" s="147"/>
      <c r="P342" s="147"/>
      <c r="Q342" s="147"/>
    </row>
    <row r="343" customFormat="false" ht="15" hidden="false" customHeight="false" outlineLevel="0" collapsed="false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57"/>
      <c r="M343" s="157"/>
      <c r="N343" s="157"/>
      <c r="O343" s="157"/>
      <c r="P343" s="157"/>
      <c r="Q343" s="157"/>
    </row>
    <row r="344" customFormat="false" ht="15" hidden="false" customHeight="false" outlineLevel="0" collapsed="false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57"/>
      <c r="M344" s="157"/>
      <c r="N344" s="157"/>
      <c r="O344" s="157"/>
      <c r="P344" s="157"/>
      <c r="Q344" s="157"/>
    </row>
    <row r="345" customFormat="false" ht="15" hidden="false" customHeight="false" outlineLevel="0" collapsed="false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57"/>
      <c r="M345" s="157"/>
      <c r="N345" s="157"/>
      <c r="O345" s="157"/>
      <c r="P345" s="157"/>
      <c r="Q345" s="157"/>
    </row>
    <row r="346" customFormat="false" ht="15" hidden="false" customHeight="false" outlineLevel="0" collapsed="false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</row>
    <row r="347" customFormat="false" ht="15" hidden="false" customHeight="false" outlineLevel="0" collapsed="false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9"/>
      <c r="M347" s="149"/>
      <c r="N347" s="149"/>
      <c r="O347" s="149"/>
      <c r="P347" s="149"/>
      <c r="Q347" s="149"/>
    </row>
    <row r="348" customFormat="false" ht="15" hidden="false" customHeight="false" outlineLevel="0" collapsed="false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9"/>
      <c r="M348" s="149"/>
      <c r="N348" s="149"/>
      <c r="O348" s="149"/>
      <c r="P348" s="149"/>
      <c r="Q348" s="149"/>
    </row>
    <row r="349" customFormat="false" ht="15" hidden="false" customHeight="false" outlineLevel="0" collapsed="false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9"/>
      <c r="M349" s="149"/>
      <c r="N349" s="149"/>
      <c r="O349" s="149"/>
      <c r="P349" s="149"/>
      <c r="Q349" s="149"/>
    </row>
    <row r="350" customFormat="false" ht="15" hidden="false" customHeight="false" outlineLevel="0" collapsed="false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</row>
    <row r="351" customFormat="false" ht="15" hidden="false" customHeight="false" outlineLevel="0" collapsed="false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9"/>
      <c r="M351" s="149"/>
      <c r="N351" s="149"/>
      <c r="O351" s="149"/>
      <c r="P351" s="149"/>
      <c r="Q351" s="149"/>
    </row>
    <row r="352" customFormat="false" ht="15" hidden="false" customHeight="false" outlineLevel="0" collapsed="false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9"/>
      <c r="M352" s="149"/>
      <c r="N352" s="149"/>
      <c r="O352" s="149"/>
      <c r="P352" s="149"/>
      <c r="Q352" s="149"/>
    </row>
    <row r="353" customFormat="false" ht="15" hidden="false" customHeight="false" outlineLevel="0" collapsed="false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9"/>
      <c r="M353" s="149"/>
      <c r="N353" s="149"/>
      <c r="O353" s="149"/>
      <c r="P353" s="149"/>
      <c r="Q353" s="149"/>
    </row>
    <row r="354" customFormat="false" ht="15" hidden="false" customHeight="false" outlineLevel="0" collapsed="false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</row>
    <row r="355" customFormat="false" ht="15" hidden="false" customHeight="false" outlineLevel="0" collapsed="false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9"/>
      <c r="M355" s="149"/>
      <c r="N355" s="149"/>
      <c r="O355" s="149"/>
      <c r="P355" s="149"/>
      <c r="Q355" s="149"/>
    </row>
    <row r="356" customFormat="false" ht="15" hidden="false" customHeight="false" outlineLevel="0" collapsed="false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9"/>
      <c r="M356" s="149"/>
      <c r="N356" s="149"/>
      <c r="O356" s="149"/>
      <c r="P356" s="149"/>
      <c r="Q356" s="149"/>
    </row>
    <row r="357" customFormat="false" ht="15" hidden="false" customHeight="false" outlineLevel="0" collapsed="false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9"/>
      <c r="M357" s="149"/>
      <c r="N357" s="149"/>
      <c r="O357" s="149"/>
      <c r="P357" s="149"/>
      <c r="Q357" s="149"/>
    </row>
    <row r="358" customFormat="false" ht="15" hidden="false" customHeight="false" outlineLevel="0" collapsed="false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</row>
    <row r="359" customFormat="false" ht="15" hidden="false" customHeight="false" outlineLevel="0" collapsed="false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9"/>
      <c r="M359" s="149"/>
      <c r="N359" s="149"/>
      <c r="O359" s="149"/>
      <c r="P359" s="149"/>
      <c r="Q359" s="149"/>
    </row>
    <row r="360" customFormat="false" ht="15" hidden="false" customHeight="false" outlineLevel="0" collapsed="false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9"/>
      <c r="M360" s="149"/>
      <c r="N360" s="149"/>
      <c r="O360" s="149"/>
      <c r="P360" s="149"/>
      <c r="Q360" s="149"/>
    </row>
    <row r="361" customFormat="false" ht="15" hidden="false" customHeight="false" outlineLevel="0" collapsed="false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9"/>
      <c r="M361" s="149"/>
      <c r="N361" s="149"/>
      <c r="O361" s="149"/>
      <c r="P361" s="149"/>
      <c r="Q361" s="149"/>
    </row>
    <row r="362" customFormat="false" ht="15" hidden="false" customHeight="false" outlineLevel="0" collapsed="false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</row>
    <row r="363" customFormat="false" ht="15" hidden="false" customHeight="false" outlineLevel="0" collapsed="false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9"/>
      <c r="M363" s="149"/>
      <c r="N363" s="149"/>
      <c r="O363" s="149"/>
      <c r="P363" s="149"/>
      <c r="Q363" s="149"/>
    </row>
    <row r="364" customFormat="false" ht="15" hidden="false" customHeight="false" outlineLevel="0" collapsed="false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9"/>
      <c r="M364" s="149"/>
      <c r="N364" s="149"/>
      <c r="O364" s="149"/>
      <c r="P364" s="149"/>
      <c r="Q364" s="149"/>
    </row>
    <row r="365" customFormat="false" ht="15" hidden="false" customHeight="false" outlineLevel="0" collapsed="false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9"/>
      <c r="M365" s="149"/>
      <c r="N365" s="149"/>
      <c r="O365" s="149"/>
      <c r="P365" s="149"/>
      <c r="Q365" s="149"/>
    </row>
    <row r="366" customFormat="false" ht="15" hidden="false" customHeight="false" outlineLevel="0" collapsed="false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</row>
    <row r="367" customFormat="false" ht="15" hidden="false" customHeight="false" outlineLevel="0" collapsed="false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9"/>
      <c r="M367" s="149"/>
      <c r="N367" s="149"/>
      <c r="O367" s="149"/>
      <c r="P367" s="149"/>
      <c r="Q367" s="149"/>
    </row>
    <row r="368" customFormat="false" ht="15" hidden="false" customHeight="false" outlineLevel="0" collapsed="false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9"/>
      <c r="M368" s="149"/>
      <c r="N368" s="149"/>
      <c r="O368" s="149"/>
      <c r="P368" s="149"/>
      <c r="Q368" s="149"/>
    </row>
    <row r="369" customFormat="false" ht="15" hidden="false" customHeight="false" outlineLevel="0" collapsed="false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9"/>
      <c r="M369" s="149"/>
      <c r="N369" s="149"/>
      <c r="O369" s="149"/>
      <c r="P369" s="149"/>
      <c r="Q369" s="149"/>
    </row>
    <row r="370" customFormat="false" ht="15" hidden="false" customHeight="false" outlineLevel="0" collapsed="false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</row>
    <row r="371" customFormat="false" ht="15" hidden="false" customHeight="false" outlineLevel="0" collapsed="false">
      <c r="A371" s="145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</row>
    <row r="372" customFormat="false" ht="15" hidden="false" customHeight="false" outlineLevel="0" collapsed="false">
      <c r="A372" s="145"/>
      <c r="B372" s="145"/>
      <c r="C372" s="149"/>
      <c r="D372" s="149"/>
      <c r="E372" s="149"/>
      <c r="F372" s="149"/>
      <c r="G372" s="149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</row>
    <row r="373" customFormat="false" ht="15" hidden="false" customHeight="false" outlineLevel="0" collapsed="false">
      <c r="A373" s="145"/>
      <c r="B373" s="158"/>
      <c r="C373" s="149"/>
      <c r="D373" s="149"/>
      <c r="E373" s="149"/>
      <c r="F373" s="149"/>
      <c r="G373" s="149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</row>
    <row r="374" customFormat="false" ht="15" hidden="false" customHeight="false" outlineLevel="0" collapsed="false">
      <c r="A374" s="145"/>
      <c r="B374" s="158"/>
      <c r="C374" s="149"/>
      <c r="D374" s="149"/>
      <c r="E374" s="149"/>
      <c r="F374" s="149"/>
      <c r="G374" s="149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</row>
    <row r="375" customFormat="false" ht="15" hidden="false" customHeight="false" outlineLevel="0" collapsed="false">
      <c r="A375" s="145"/>
      <c r="B375" s="158"/>
      <c r="C375" s="149"/>
      <c r="D375" s="149"/>
      <c r="E375" s="149"/>
      <c r="F375" s="149"/>
      <c r="G375" s="149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</row>
    <row r="376" customFormat="false" ht="15" hidden="false" customHeight="false" outlineLevel="0" collapsed="false">
      <c r="A376" s="145"/>
      <c r="B376" s="158"/>
      <c r="C376" s="149"/>
      <c r="D376" s="149"/>
      <c r="E376" s="149"/>
      <c r="F376" s="149"/>
      <c r="G376" s="149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</row>
    <row r="377" customFormat="false" ht="15" hidden="false" customHeight="false" outlineLevel="0" collapsed="false">
      <c r="A377" s="145"/>
      <c r="B377" s="158"/>
      <c r="C377" s="149"/>
      <c r="D377" s="149"/>
      <c r="E377" s="149"/>
      <c r="F377" s="149"/>
      <c r="G377" s="149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</row>
    <row r="378" customFormat="false" ht="15" hidden="false" customHeight="false" outlineLevel="0" collapsed="false">
      <c r="A378" s="145"/>
      <c r="B378" s="145"/>
      <c r="C378" s="15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</row>
    <row r="379" customFormat="false" ht="15" hidden="false" customHeight="false" outlineLevel="0" collapsed="false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</row>
    <row r="380" customFormat="false" ht="15" hidden="false" customHeight="false" outlineLevel="0" collapsed="false">
      <c r="A380" s="145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</row>
    <row r="381" customFormat="false" ht="15" hidden="false" customHeight="false" outlineLevel="0" collapsed="false">
      <c r="A381" s="145"/>
      <c r="B381" s="146"/>
      <c r="C381" s="145"/>
      <c r="D381" s="146"/>
      <c r="E381" s="145"/>
      <c r="F381" s="146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</row>
    <row r="382" customFormat="false" ht="15" hidden="false" customHeight="false" outlineLevel="0" collapsed="false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</row>
    <row r="383" customFormat="false" ht="15" hidden="false" customHeight="false" outlineLevel="0" collapsed="false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</row>
    <row r="384" customFormat="false" ht="15" hidden="false" customHeight="false" outlineLevel="0" collapsed="false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</row>
    <row r="385" customFormat="false" ht="15" hidden="false" customHeight="false" outlineLevel="0" collapsed="false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</row>
    <row r="386" customFormat="false" ht="15" hidden="false" customHeight="false" outlineLevel="0" collapsed="false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</row>
    <row r="387" customFormat="false" ht="15" hidden="false" customHeight="false" outlineLevel="0" collapsed="false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</row>
    <row r="388" customFormat="false" ht="15" hidden="false" customHeight="false" outlineLevel="0" collapsed="false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</row>
    <row r="389" customFormat="false" ht="15" hidden="false" customHeight="false" outlineLevel="0" collapsed="false">
      <c r="A389" s="145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</row>
    <row r="390" customFormat="false" ht="15" hidden="false" customHeight="false" outlineLevel="0" collapsed="false">
      <c r="A390" s="145"/>
      <c r="B390" s="146"/>
      <c r="C390" s="147"/>
      <c r="D390" s="147"/>
      <c r="E390" s="147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</row>
    <row r="391" customFormat="false" ht="15" hidden="false" customHeight="false" outlineLevel="0" collapsed="false">
      <c r="A391" s="145"/>
      <c r="B391" s="145"/>
      <c r="C391" s="149"/>
      <c r="D391" s="149"/>
      <c r="E391" s="149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</row>
    <row r="392" customFormat="false" ht="15" hidden="false" customHeight="false" outlineLevel="0" collapsed="false">
      <c r="A392" s="145"/>
      <c r="B392" s="145"/>
      <c r="C392" s="149"/>
      <c r="D392" s="149"/>
      <c r="E392" s="149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</row>
    <row r="393" customFormat="false" ht="15" hidden="false" customHeight="false" outlineLevel="0" collapsed="false">
      <c r="A393" s="145"/>
      <c r="B393" s="145"/>
      <c r="C393" s="149"/>
      <c r="D393" s="149"/>
      <c r="E393" s="149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</row>
    <row r="394" customFormat="false" ht="15" hidden="false" customHeight="false" outlineLevel="0" collapsed="false">
      <c r="A394" s="145"/>
      <c r="B394" s="145"/>
      <c r="C394" s="149"/>
      <c r="D394" s="149"/>
      <c r="E394" s="149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</row>
    <row r="395" customFormat="false" ht="15" hidden="false" customHeight="false" outlineLevel="0" collapsed="false">
      <c r="A395" s="145"/>
      <c r="B395" s="145"/>
      <c r="C395" s="149"/>
      <c r="D395" s="149"/>
      <c r="E395" s="149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</row>
    <row r="396" customFormat="false" ht="15" hidden="false" customHeight="false" outlineLevel="0" collapsed="false">
      <c r="A396" s="145"/>
      <c r="B396" s="145"/>
      <c r="C396" s="149"/>
      <c r="D396" s="149"/>
      <c r="E396" s="149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</row>
    <row r="397" customFormat="false" ht="15" hidden="false" customHeight="false" outlineLevel="0" collapsed="false">
      <c r="A397" s="145"/>
      <c r="B397" s="145"/>
      <c r="C397" s="149"/>
      <c r="D397" s="149"/>
      <c r="E397" s="149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</row>
    <row r="398" customFormat="false" ht="15" hidden="false" customHeight="false" outlineLevel="0" collapsed="false">
      <c r="A398" s="145"/>
      <c r="B398" s="145"/>
      <c r="C398" s="149"/>
      <c r="D398" s="149"/>
      <c r="E398" s="149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</row>
    <row r="399" customFormat="false" ht="15" hidden="false" customHeight="false" outlineLevel="0" collapsed="false">
      <c r="A399" s="145"/>
      <c r="B399" s="145"/>
      <c r="C399" s="149"/>
      <c r="D399" s="149"/>
      <c r="E399" s="149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</row>
    <row r="400" customFormat="false" ht="15" hidden="false" customHeight="false" outlineLevel="0" collapsed="false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</row>
    <row r="401" customFormat="false" ht="15" hidden="false" customHeight="false" outlineLevel="0" collapsed="false">
      <c r="A401" s="145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</row>
    <row r="402" customFormat="false" ht="15" hidden="false" customHeight="false" outlineLevel="0" collapsed="false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</row>
    <row r="403" customFormat="false" ht="15" hidden="false" customHeight="false" outlineLevel="0" collapsed="false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</row>
    <row r="404" customFormat="false" ht="15" hidden="false" customHeight="false" outlineLevel="0" collapsed="false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</row>
    <row r="405" customFormat="false" ht="15" hidden="false" customHeight="false" outlineLevel="0" collapsed="false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</row>
    <row r="406" customFormat="false" ht="15" hidden="false" customHeight="false" outlineLevel="0" collapsed="false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</row>
    <row r="407" customFormat="false" ht="15" hidden="false" customHeight="false" outlineLevel="0" collapsed="false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</row>
    <row r="408" customFormat="false" ht="15" hidden="false" customHeight="false" outlineLevel="0" collapsed="false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</row>
    <row r="409" customFormat="false" ht="15" hidden="false" customHeight="false" outlineLevel="0" collapsed="false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22"/>
    <col collapsed="false" customWidth="true" hidden="false" outlineLevel="0" max="9" min="9" style="0" width="14"/>
  </cols>
  <sheetData>
    <row r="2" customFormat="false" ht="15" hidden="false" customHeight="false" outlineLevel="0" collapsed="false">
      <c r="B2" s="20" t="s">
        <v>871</v>
      </c>
      <c r="C2" s="20"/>
      <c r="D2" s="20"/>
      <c r="E2" s="20"/>
      <c r="F2" s="20"/>
      <c r="G2" s="20"/>
      <c r="H2" s="20"/>
      <c r="I2" s="20"/>
      <c r="J2" s="20"/>
      <c r="K2" s="20"/>
    </row>
    <row r="3" customFormat="false" ht="15" hidden="false" customHeight="false" outlineLevel="0" collapsed="false">
      <c r="B3" s="9" t="s">
        <v>872</v>
      </c>
    </row>
    <row r="5" customFormat="false" ht="15" hidden="false" customHeight="false" outlineLevel="0" collapsed="false">
      <c r="B5" s="4" t="s">
        <v>873</v>
      </c>
      <c r="C5" s="75" t="s">
        <v>874</v>
      </c>
      <c r="D5" s="75" t="s">
        <v>875</v>
      </c>
      <c r="E5" s="75" t="s">
        <v>876</v>
      </c>
      <c r="F5" s="75" t="s">
        <v>877</v>
      </c>
      <c r="G5" s="75" t="s">
        <v>878</v>
      </c>
      <c r="H5" s="75" t="s">
        <v>879</v>
      </c>
      <c r="I5" s="75" t="s">
        <v>880</v>
      </c>
    </row>
    <row r="6" customFormat="false" ht="15" hidden="false" customHeight="false" outlineLevel="0" collapsed="false">
      <c r="B6" s="9" t="s">
        <v>881</v>
      </c>
      <c r="C6" s="100" t="n">
        <v>1172.87</v>
      </c>
      <c r="D6" s="132" t="n">
        <v>67.5483208321493</v>
      </c>
      <c r="E6" s="92" t="n">
        <f aca="false">C6/D6</f>
        <v>17.363422</v>
      </c>
      <c r="F6" s="107" t="n">
        <v>0.0802780517567259</v>
      </c>
      <c r="G6" s="107" t="n">
        <v>0.0556587154216064</v>
      </c>
      <c r="H6" s="107" t="n">
        <v>0.0683535075916782</v>
      </c>
      <c r="I6" s="159" t="n">
        <f aca="false">IF(F6*H6&gt;0,1,0)</f>
        <v>1</v>
      </c>
    </row>
    <row r="7" customFormat="false" ht="15" hidden="false" customHeight="false" outlineLevel="0" collapsed="false">
      <c r="B7" s="9" t="s">
        <v>882</v>
      </c>
      <c r="C7" s="100" t="n">
        <v>1372.483</v>
      </c>
      <c r="D7" s="132" t="n">
        <v>77.1089185251738</v>
      </c>
      <c r="E7" s="92" t="n">
        <f aca="false">C7/D7</f>
        <v>17.799277</v>
      </c>
      <c r="F7" s="107" t="n">
        <v>0.0738500960456221</v>
      </c>
      <c r="G7" s="107" t="n">
        <v>0.0810482997617501</v>
      </c>
      <c r="H7" s="107" t="n">
        <v>0.055732506201446</v>
      </c>
      <c r="I7" s="159" t="n">
        <f aca="false">IF(F7*H7&gt;0,1,0)</f>
        <v>1</v>
      </c>
    </row>
    <row r="8" customFormat="false" ht="15" hidden="false" customHeight="false" outlineLevel="0" collapsed="false">
      <c r="B8" s="9" t="s">
        <v>883</v>
      </c>
      <c r="C8" s="100" t="n">
        <v>1543.869</v>
      </c>
      <c r="D8" s="132" t="n">
        <v>85.016011238925</v>
      </c>
      <c r="E8" s="92" t="n">
        <f aca="false">C8/D8</f>
        <v>18.159744</v>
      </c>
      <c r="F8" s="107" t="n">
        <v>0.0170936372302333</v>
      </c>
      <c r="G8" s="107" t="n">
        <v>0.0304167126411419</v>
      </c>
      <c r="H8" s="107" t="n">
        <v>0.03220089618112</v>
      </c>
      <c r="I8" s="159" t="n">
        <f aca="false">IF(F8*H8&gt;0,1,0)</f>
        <v>1</v>
      </c>
    </row>
    <row r="9" customFormat="false" ht="15" hidden="false" customHeight="false" outlineLevel="0" collapsed="false">
      <c r="B9" s="9" t="s">
        <v>884</v>
      </c>
      <c r="C9" s="100" t="n">
        <v>1327.002</v>
      </c>
      <c r="D9" s="132" t="n">
        <v>71.6887698603794</v>
      </c>
      <c r="E9" s="92" t="n">
        <f aca="false">C9/D9</f>
        <v>18.510598</v>
      </c>
      <c r="F9" s="107" t="n">
        <v>0.00750027529945441</v>
      </c>
      <c r="G9" s="107" t="n">
        <v>0.0339850797210981</v>
      </c>
      <c r="H9" s="107" t="n">
        <v>0.0221202795710359</v>
      </c>
      <c r="I9" s="159" t="n">
        <f aca="false">IF(F9*H9&gt;0,1,0)</f>
        <v>1</v>
      </c>
    </row>
    <row r="10" customFormat="false" ht="15" hidden="false" customHeight="false" outlineLevel="0" collapsed="false">
      <c r="B10" s="9" t="s">
        <v>885</v>
      </c>
      <c r="C10" s="100" t="n">
        <v>1303.498</v>
      </c>
      <c r="D10" s="132" t="n">
        <v>69.1816302136147</v>
      </c>
      <c r="E10" s="92" t="n">
        <f aca="false">C10/D10</f>
        <v>18.841678</v>
      </c>
      <c r="F10" s="107" t="n">
        <v>0.0241798665213902</v>
      </c>
      <c r="G10" s="107" t="n">
        <v>0.0102554794209737</v>
      </c>
      <c r="H10" s="107" t="n">
        <v>0.0251794339070056</v>
      </c>
      <c r="I10" s="159" t="n">
        <f aca="false">IF(F10*H10&gt;0,1,0)</f>
        <v>1</v>
      </c>
    </row>
    <row r="11" customFormat="false" ht="15" hidden="false" customHeight="false" outlineLevel="0" collapsed="false">
      <c r="B11" s="9" t="s">
        <v>886</v>
      </c>
      <c r="C11" s="100" t="n">
        <v>1720.505</v>
      </c>
      <c r="D11" s="132" t="n">
        <v>90.1158990277463</v>
      </c>
      <c r="E11" s="92" t="n">
        <f aca="false">C11/D11</f>
        <v>19.092136</v>
      </c>
      <c r="F11" s="107" t="n">
        <v>0.16868321786054</v>
      </c>
      <c r="G11" s="107" t="n">
        <v>0.0401033883930375</v>
      </c>
      <c r="H11" s="107" t="n">
        <v>0.0401330182085034</v>
      </c>
      <c r="I11" s="159" t="n">
        <f aca="false">IF(F11*H11&gt;0,1,0)</f>
        <v>1</v>
      </c>
    </row>
    <row r="12" customFormat="false" ht="15" hidden="false" customHeight="false" outlineLevel="0" collapsed="false">
      <c r="B12" s="9" t="s">
        <v>887</v>
      </c>
      <c r="C12" s="100" t="n">
        <v>1951.701</v>
      </c>
      <c r="D12" s="132" t="n">
        <v>101.816598752451</v>
      </c>
      <c r="E12" s="92" t="n">
        <f aca="false">C12/D12</f>
        <v>19.16879</v>
      </c>
      <c r="F12" s="107" t="n">
        <v>0.197616746171621</v>
      </c>
      <c r="G12" s="107" t="n">
        <v>0.0401626480239692</v>
      </c>
      <c r="H12" s="107" t="n">
        <v>0.0433889946532389</v>
      </c>
      <c r="I12" s="159" t="n">
        <f aca="false">IF(F12*H12&gt;0,1,0)</f>
        <v>1</v>
      </c>
    </row>
    <row r="13" customFormat="false" ht="15" hidden="false" customHeight="false" outlineLevel="0" collapsed="false">
      <c r="B13" s="9" t="s">
        <v>888</v>
      </c>
      <c r="C13" s="100" t="n">
        <v>1648.742</v>
      </c>
      <c r="D13" s="132" t="n">
        <v>86.4055378632607</v>
      </c>
      <c r="E13" s="92" t="n">
        <f aca="false">C13/D13</f>
        <v>19.081439</v>
      </c>
      <c r="F13" s="107" t="n">
        <v>0.205286937292181</v>
      </c>
      <c r="G13" s="107" t="n">
        <v>0.0466153412825086</v>
      </c>
      <c r="H13" s="107" t="n">
        <v>0.0437416991910831</v>
      </c>
      <c r="I13" s="159" t="n">
        <f aca="false">IF(F13*H13&gt;0,1,0)</f>
        <v>1</v>
      </c>
    </row>
    <row r="14" customFormat="false" ht="15" hidden="false" customHeight="false" outlineLevel="0" collapsed="false">
      <c r="B14" s="9" t="s">
        <v>889</v>
      </c>
      <c r="C14" s="100" t="n">
        <v>1593.219</v>
      </c>
      <c r="D14" s="132" t="n">
        <v>82.8358019220568</v>
      </c>
      <c r="E14" s="92" t="n">
        <f aca="false">C14/D14</f>
        <v>19.233459</v>
      </c>
      <c r="F14" s="107" t="n">
        <v>0.197367012981358</v>
      </c>
      <c r="G14" s="107" t="n">
        <v>0.0408680570996576</v>
      </c>
      <c r="H14" s="107" t="n">
        <v>0.049212672173006</v>
      </c>
      <c r="I14" s="159" t="n">
        <f aca="false">IF(F14*H14&gt;0,1,0)</f>
        <v>1</v>
      </c>
    </row>
    <row r="15" customFormat="false" ht="15" hidden="false" customHeight="false" outlineLevel="0" collapsed="false">
      <c r="B15" s="9" t="s">
        <v>890</v>
      </c>
      <c r="C15" s="100" t="n">
        <v>2023.227</v>
      </c>
      <c r="D15" s="132" t="n">
        <v>103.918807232027</v>
      </c>
      <c r="E15" s="92" t="n">
        <f aca="false">C15/D15</f>
        <v>19.46930545</v>
      </c>
      <c r="F15" s="107" t="n">
        <v>0.153168401505163</v>
      </c>
      <c r="G15" s="107" t="n">
        <v>0.0575572872463543</v>
      </c>
      <c r="H15" s="107" t="n">
        <v>0.0484696307476408</v>
      </c>
      <c r="I15" s="159" t="n">
        <f aca="false">IF(F15*H15&gt;0,1,0)</f>
        <v>1</v>
      </c>
    </row>
    <row r="16" customFormat="false" ht="15" hidden="false" customHeight="false" outlineLevel="0" collapsed="false">
      <c r="B16" s="9" t="s">
        <v>891</v>
      </c>
      <c r="C16" s="100" t="n">
        <v>2167.271</v>
      </c>
      <c r="D16" s="132" t="n">
        <v>110.010132153514</v>
      </c>
      <c r="E16" s="92" t="n">
        <f aca="false">C16/D16</f>
        <v>19.700649</v>
      </c>
      <c r="F16" s="107" t="n">
        <v>0.080473454244766</v>
      </c>
      <c r="G16" s="107" t="n">
        <v>0.0393819742489272</v>
      </c>
      <c r="H16" s="107" t="n">
        <v>0.0285399468650742</v>
      </c>
      <c r="I16" s="159" t="n">
        <f aca="false">IF(F16*H16&gt;0,1,0)</f>
        <v>1</v>
      </c>
    </row>
    <row r="17" customFormat="false" ht="15" hidden="false" customHeight="false" outlineLevel="0" collapsed="false">
      <c r="B17" s="9" t="s">
        <v>892</v>
      </c>
      <c r="C17" s="100" t="n">
        <v>3629.707</v>
      </c>
      <c r="D17" s="132" t="n">
        <v>155.748361560175</v>
      </c>
      <c r="E17" s="92" t="n">
        <f aca="false">C17/D17</f>
        <v>23.304945</v>
      </c>
      <c r="F17" s="107" t="n">
        <v>0.131362919281735</v>
      </c>
      <c r="G17" s="107" t="n">
        <v>0.0630336514314414</v>
      </c>
      <c r="H17" s="107" t="n">
        <v>0.076543968018939</v>
      </c>
      <c r="I17" s="159" t="n">
        <f aca="false">IF(F17*H17&gt;0,1,0)</f>
        <v>1</v>
      </c>
    </row>
    <row r="18" customFormat="false" ht="15" hidden="false" customHeight="false" outlineLevel="0" collapsed="false">
      <c r="B18" s="9" t="s">
        <v>893</v>
      </c>
      <c r="C18" s="100" t="n">
        <v>3779.119</v>
      </c>
      <c r="D18" s="132" t="n">
        <v>159.990928347023</v>
      </c>
      <c r="E18" s="92" t="n">
        <f aca="false">C18/D18</f>
        <v>23.620833</v>
      </c>
      <c r="F18" s="107" t="n">
        <v>0.114235719351056</v>
      </c>
      <c r="G18" s="107" t="n">
        <v>0.0900542846064367</v>
      </c>
      <c r="H18" s="107" t="n">
        <v>0.0900183043865004</v>
      </c>
      <c r="I18" s="159" t="n">
        <f aca="false">IF(F18*H18&gt;0,1,0)</f>
        <v>1</v>
      </c>
    </row>
    <row r="19" customFormat="false" ht="15" hidden="false" customHeight="false" outlineLevel="0" collapsed="false">
      <c r="B19" s="9" t="s">
        <v>894</v>
      </c>
      <c r="C19" s="100" t="n">
        <v>3144.586</v>
      </c>
      <c r="D19" s="132" t="n">
        <v>130.99794416545</v>
      </c>
      <c r="E19" s="92" t="n">
        <f aca="false">C19/D19</f>
        <v>24.00485</v>
      </c>
      <c r="F19" s="107" t="n">
        <v>0.0388022818281528</v>
      </c>
      <c r="G19" s="107" t="n">
        <v>0.089982324166564</v>
      </c>
      <c r="H19" s="107" t="n">
        <v>0.0509114096899904</v>
      </c>
      <c r="I19" s="159" t="n">
        <f aca="false">IF(F19*H19&gt;0,1,0)</f>
        <v>1</v>
      </c>
    </row>
    <row r="20" customFormat="false" ht="15" hidden="false" customHeight="false" outlineLevel="0" collapsed="false">
      <c r="B20" s="9" t="s">
        <v>245</v>
      </c>
      <c r="C20" s="100" t="n">
        <v>3105.964</v>
      </c>
      <c r="D20" s="132" t="n">
        <v>127.118433188626</v>
      </c>
      <c r="E20" s="92" t="n">
        <f aca="false">C20/D20</f>
        <v>24.433624</v>
      </c>
      <c r="F20" s="107" t="n">
        <v>-0.0262439181128211</v>
      </c>
      <c r="G20" s="107" t="n">
        <v>0.0118404952134168</v>
      </c>
      <c r="H20" s="107" t="n">
        <v>0.0211914163151556</v>
      </c>
      <c r="I20" s="159" t="n">
        <f aca="false">IF(F20*H20&gt;0,1,0)</f>
        <v>0</v>
      </c>
    </row>
    <row r="21" customFormat="false" ht="15" hidden="false" customHeight="false" outlineLevel="0" collapsed="false">
      <c r="B21" s="9" t="s">
        <v>895</v>
      </c>
      <c r="C21" s="100" t="n">
        <v>3762.256</v>
      </c>
      <c r="D21" s="132" t="n">
        <v>149.735393932109</v>
      </c>
      <c r="E21" s="92" t="n">
        <f aca="false">C21/D21</f>
        <v>25.12603</v>
      </c>
      <c r="F21" s="107" t="n">
        <v>-0.0386069398601197</v>
      </c>
      <c r="G21" s="107" t="n">
        <v>0.0305423374168945</v>
      </c>
      <c r="H21" s="107" t="n">
        <v>0.0227307502586136</v>
      </c>
      <c r="I21" s="159" t="n">
        <f aca="false">IF(F21*H21&gt;0,1,0)</f>
        <v>0</v>
      </c>
    </row>
    <row r="22" customFormat="false" ht="15" hidden="false" customHeight="false" outlineLevel="0" collapsed="false">
      <c r="B22" s="9" t="s">
        <v>896</v>
      </c>
      <c r="C22" s="100" t="n">
        <v>3833.775</v>
      </c>
      <c r="D22" s="132" t="n">
        <v>149.386305381531</v>
      </c>
      <c r="E22" s="92" t="n">
        <f aca="false">C22/D22</f>
        <v>25.663497</v>
      </c>
      <c r="F22" s="107" t="n">
        <v>-0.0662826516169136</v>
      </c>
      <c r="G22" s="107" t="n">
        <v>0.0149191631003327</v>
      </c>
      <c r="H22" s="107" t="n">
        <v>0.0265149193064993</v>
      </c>
      <c r="I22" s="159" t="n">
        <f aca="false">IF(F22*H22&gt;0,1,0)</f>
        <v>0</v>
      </c>
    </row>
    <row r="23" customFormat="false" ht="15" hidden="false" customHeight="false" outlineLevel="0" collapsed="false">
      <c r="B23" s="9" t="s">
        <v>897</v>
      </c>
      <c r="C23" s="100" t="n">
        <v>3146.869</v>
      </c>
      <c r="D23" s="132" t="n">
        <v>120.820718202528</v>
      </c>
      <c r="E23" s="92" t="n">
        <f aca="false">C23/D23</f>
        <v>26.045773</v>
      </c>
      <c r="F23" s="107" t="n">
        <v>-0.0776899670277922</v>
      </c>
      <c r="G23" s="107" t="n">
        <v>0.0381106755126659</v>
      </c>
      <c r="H23" s="107" t="n">
        <v>0.0140107955217081</v>
      </c>
      <c r="I23" s="159" t="n">
        <f aca="false">IF(F23*H23&gt;0,1,0)</f>
        <v>0</v>
      </c>
    </row>
    <row r="24" customFormat="false" ht="15" hidden="false" customHeight="false" outlineLevel="0" collapsed="false">
      <c r="B24" s="9" t="s">
        <v>246</v>
      </c>
      <c r="C24" s="100" t="n">
        <v>3200.593</v>
      </c>
      <c r="D24" s="132" t="n">
        <v>121.927352380952</v>
      </c>
      <c r="E24" s="92" t="n">
        <f aca="false">C24/D24</f>
        <v>26.25</v>
      </c>
      <c r="F24" s="107" t="n">
        <v>-0.0408365700981417</v>
      </c>
      <c r="G24" s="107" t="n">
        <v>-0.0100890844692497</v>
      </c>
      <c r="H24" s="107" t="n">
        <v>-0.0180398764003605</v>
      </c>
      <c r="I24" s="159" t="n">
        <f aca="false">IF(F24*H24&gt;0,1,0)</f>
        <v>1</v>
      </c>
    </row>
    <row r="25" customFormat="false" ht="15" hidden="false" customHeight="false" outlineLevel="0" collapsed="false">
      <c r="B25" s="9" t="s">
        <v>898</v>
      </c>
      <c r="C25" s="100" t="n">
        <v>3718.873</v>
      </c>
      <c r="D25" s="132" t="n">
        <v>140.643773768671</v>
      </c>
      <c r="E25" s="92" t="n">
        <f aca="false">C25/D25</f>
        <v>26.44178907</v>
      </c>
      <c r="F25" s="107" t="n">
        <v>-0.0607179099389187</v>
      </c>
      <c r="G25" s="107" t="n">
        <v>-0.0259906683314712</v>
      </c>
      <c r="H25" s="107" t="n">
        <v>-0.0259906683314712</v>
      </c>
      <c r="I25" s="159" t="n">
        <f aca="false">IF(F25*H25&gt;0,1,0)</f>
        <v>1</v>
      </c>
    </row>
    <row r="26" customFormat="false" ht="15" hidden="false" customHeight="false" outlineLevel="0" collapsed="false">
      <c r="B26" s="9" t="s">
        <v>899</v>
      </c>
      <c r="C26" s="100" t="n">
        <v>3651.201</v>
      </c>
      <c r="D26" s="132" t="n">
        <v>137.059763401316</v>
      </c>
      <c r="E26" s="92" t="n">
        <f aca="false">C26/D26</f>
        <v>26.63948127</v>
      </c>
      <c r="F26" s="107" t="n">
        <v>-0.0825145380544259</v>
      </c>
    </row>
    <row r="28" customFormat="false" ht="15" hidden="false" customHeight="false" outlineLevel="0" collapsed="false">
      <c r="B28" s="4" t="s">
        <v>900</v>
      </c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false" outlineLevel="0" collapsed="false">
      <c r="B29" s="9" t="s">
        <v>901</v>
      </c>
      <c r="F29" s="160" t="n">
        <f aca="false">CORREL(F6:F25,G6:G25)</f>
        <v>0.52480263971885</v>
      </c>
    </row>
    <row r="30" customFormat="false" ht="15" hidden="false" customHeight="false" outlineLevel="0" collapsed="false">
      <c r="B30" s="9" t="s">
        <v>902</v>
      </c>
      <c r="F30" s="160" t="n">
        <f aca="false">CORREL(F6:F25,H6:H25)</f>
        <v>0.652423452366794</v>
      </c>
    </row>
    <row r="31" customFormat="false" ht="15" hidden="false" customHeight="false" outlineLevel="0" collapsed="false">
      <c r="B31" s="9" t="s">
        <v>903</v>
      </c>
      <c r="F31" s="82" t="n">
        <f aca="false">SUM(I6:I25)/COUNT(H6:H25)</f>
        <v>0.8</v>
      </c>
    </row>
    <row r="32" customFormat="false" ht="15" hidden="false" customHeight="false" outlineLevel="0" collapsed="false">
      <c r="B32" s="9" t="s">
        <v>904</v>
      </c>
      <c r="F32" s="161" t="n">
        <f aca="false">COUNT(H6:H25)</f>
        <v>20</v>
      </c>
    </row>
    <row r="33" customFormat="false" ht="15" hidden="false" customHeight="false" outlineLevel="0" collapsed="false">
      <c r="B33" s="9" t="s">
        <v>905</v>
      </c>
      <c r="F33" s="160" t="n">
        <f aca="false">CORREL(F6:F16,H6:H16)</f>
        <v>0.428700954620328</v>
      </c>
    </row>
    <row r="34" customFormat="false" ht="15" hidden="false" customHeight="false" outlineLevel="0" collapsed="false">
      <c r="B34" s="9" t="s">
        <v>906</v>
      </c>
      <c r="F34" s="160" t="n">
        <f aca="false">CORREL(F17:F25,H17:H25)</f>
        <v>0.862633342212855</v>
      </c>
    </row>
    <row r="35" customFormat="false" ht="15" hidden="false" customHeight="false" outlineLevel="0" collapsed="false">
      <c r="B35" s="9" t="s">
        <v>907</v>
      </c>
      <c r="F35" s="82" t="n">
        <f aca="false">F26</f>
        <v>-0.0825145380544259</v>
      </c>
    </row>
    <row r="37" customFormat="false" ht="15" hidden="false" customHeight="false" outlineLevel="0" collapsed="false">
      <c r="B37" s="4" t="s">
        <v>908</v>
      </c>
      <c r="C37" s="5"/>
      <c r="D37" s="5"/>
      <c r="E37" s="5"/>
      <c r="F37" s="5"/>
      <c r="G37" s="5"/>
      <c r="H37" s="5"/>
      <c r="I37" s="5"/>
      <c r="J37" s="5"/>
      <c r="K37" s="5"/>
    </row>
    <row r="38" customFormat="false" ht="15" hidden="false" customHeight="false" outlineLevel="0" collapsed="false">
      <c r="B38" s="4" t="s">
        <v>199</v>
      </c>
      <c r="C38" s="75" t="s">
        <v>869</v>
      </c>
      <c r="D38" s="75" t="s">
        <v>909</v>
      </c>
      <c r="E38" s="75" t="s">
        <v>799</v>
      </c>
      <c r="F38" s="75" t="s">
        <v>909</v>
      </c>
      <c r="G38" s="75" t="s">
        <v>910</v>
      </c>
      <c r="H38" s="75" t="s">
        <v>800</v>
      </c>
      <c r="I38" s="75" t="s">
        <v>909</v>
      </c>
    </row>
    <row r="39" customFormat="false" ht="15" hidden="false" customHeight="false" outlineLevel="0" collapsed="false">
      <c r="B39" s="9" t="s">
        <v>911</v>
      </c>
      <c r="C39" s="162" t="n">
        <v>1977.325</v>
      </c>
      <c r="E39" s="162" t="n">
        <v>3567.401</v>
      </c>
      <c r="G39" s="163" t="s">
        <v>912</v>
      </c>
      <c r="H39" s="162" t="n">
        <v>3367</v>
      </c>
    </row>
    <row r="40" customFormat="false" ht="15" hidden="false" customHeight="false" outlineLevel="0" collapsed="false">
      <c r="B40" s="9" t="s">
        <v>913</v>
      </c>
      <c r="C40" s="162" t="n">
        <v>2331.203</v>
      </c>
      <c r="E40" s="162" t="n">
        <v>4168.743</v>
      </c>
      <c r="G40" s="163" t="s">
        <v>914</v>
      </c>
      <c r="H40" s="162" t="n">
        <v>4767</v>
      </c>
    </row>
    <row r="41" customFormat="false" ht="15" hidden="false" customHeight="false" outlineLevel="0" collapsed="false">
      <c r="B41" s="9" t="s">
        <v>915</v>
      </c>
      <c r="C41" s="162" t="n">
        <v>2291.624</v>
      </c>
      <c r="E41" s="162" t="n">
        <v>3774.499</v>
      </c>
      <c r="G41" s="163" t="s">
        <v>916</v>
      </c>
      <c r="H41" s="162" t="n">
        <v>4470</v>
      </c>
    </row>
    <row r="42" customFormat="false" ht="15" hidden="false" customHeight="false" outlineLevel="0" collapsed="false">
      <c r="B42" s="9" t="s">
        <v>917</v>
      </c>
      <c r="C42" s="162" t="n">
        <v>2516.521</v>
      </c>
      <c r="E42" s="162" t="n">
        <v>4168</v>
      </c>
      <c r="G42" s="163" t="s">
        <v>918</v>
      </c>
      <c r="H42" s="162" t="n">
        <v>4874</v>
      </c>
    </row>
    <row r="43" customFormat="false" ht="15" hidden="false" customHeight="false" outlineLevel="0" collapsed="false">
      <c r="B43" s="9" t="s">
        <v>919</v>
      </c>
      <c r="C43" s="162" t="n">
        <v>3177.026</v>
      </c>
      <c r="D43" s="78" t="n">
        <f aca="false">C43/C39-1</f>
        <v>0.606729293363509</v>
      </c>
      <c r="E43" s="162" t="n">
        <v>5270.589</v>
      </c>
      <c r="F43" s="78" t="n">
        <f aca="false">E43/E39-1</f>
        <v>0.477431048542062</v>
      </c>
      <c r="G43" s="163" t="s">
        <v>920</v>
      </c>
      <c r="H43" s="162" t="n">
        <v>5495</v>
      </c>
      <c r="I43" s="78" t="n">
        <f aca="false">H43/H39-1</f>
        <v>0.632016632016632</v>
      </c>
    </row>
    <row r="44" customFormat="false" ht="15" hidden="false" customHeight="false" outlineLevel="0" collapsed="false">
      <c r="B44" s="9" t="s">
        <v>921</v>
      </c>
      <c r="C44" s="162" t="n">
        <v>3345.767</v>
      </c>
      <c r="D44" s="78" t="n">
        <f aca="false">C44/C40-1</f>
        <v>0.435210490034544</v>
      </c>
      <c r="E44" s="162" t="n">
        <v>5676.341</v>
      </c>
      <c r="F44" s="78" t="n">
        <f aca="false">E44/E40-1</f>
        <v>0.3616433059078</v>
      </c>
      <c r="G44" s="163" t="s">
        <v>922</v>
      </c>
      <c r="H44" s="162" t="n">
        <v>6892</v>
      </c>
      <c r="I44" s="78" t="n">
        <f aca="false">H44/H40-1</f>
        <v>0.445773022865534</v>
      </c>
    </row>
    <row r="45" customFormat="false" ht="15" hidden="false" customHeight="false" outlineLevel="0" collapsed="false">
      <c r="B45" s="9" t="s">
        <v>923</v>
      </c>
      <c r="C45" s="162" t="n">
        <v>2965.28</v>
      </c>
      <c r="D45" s="78" t="n">
        <f aca="false">C45/C41-1</f>
        <v>0.293964454901851</v>
      </c>
      <c r="E45" s="162" t="n">
        <v>5032.328</v>
      </c>
      <c r="F45" s="78" t="n">
        <f aca="false">E45/E41-1</f>
        <v>0.33324396164895</v>
      </c>
      <c r="G45" s="163" t="s">
        <v>924</v>
      </c>
      <c r="H45" s="162" t="n">
        <v>5955</v>
      </c>
      <c r="I45" s="78" t="n">
        <f aca="false">H45/H41-1</f>
        <v>0.332214765100671</v>
      </c>
    </row>
    <row r="46" customFormat="false" ht="15" hidden="false" customHeight="false" outlineLevel="0" collapsed="false">
      <c r="B46" s="9" t="s">
        <v>925</v>
      </c>
      <c r="C46" s="162" t="n">
        <v>3060.666</v>
      </c>
      <c r="D46" s="78" t="n">
        <f aca="false">C46/C42-1</f>
        <v>0.216229071801904</v>
      </c>
      <c r="E46" s="162" t="n">
        <v>5311</v>
      </c>
      <c r="F46" s="78" t="n">
        <f aca="false">E46/E42-1</f>
        <v>0.274232245681382</v>
      </c>
      <c r="G46" s="163" t="s">
        <v>926</v>
      </c>
      <c r="H46" s="162" t="n">
        <v>6072</v>
      </c>
      <c r="I46" s="78" t="n">
        <f aca="false">H46/H42-1</f>
        <v>0.245794009027493</v>
      </c>
    </row>
    <row r="47" customFormat="false" ht="15" hidden="false" customHeight="false" outlineLevel="0" collapsed="false">
      <c r="B47" s="9" t="s">
        <v>892</v>
      </c>
      <c r="C47" s="162" t="n">
        <v>3629.707</v>
      </c>
      <c r="D47" s="78" t="n">
        <f aca="false">C47/C43-1</f>
        <v>0.142485771284214</v>
      </c>
      <c r="E47" s="162" t="n">
        <v>6040</v>
      </c>
      <c r="F47" s="78" t="n">
        <f aca="false">E47/E43-1</f>
        <v>0.145981976587436</v>
      </c>
      <c r="G47" s="163" t="s">
        <v>927</v>
      </c>
      <c r="H47" s="162" t="n">
        <v>6642</v>
      </c>
      <c r="I47" s="78" t="n">
        <f aca="false">H47/H43-1</f>
        <v>0.208735213830755</v>
      </c>
    </row>
    <row r="48" customFormat="false" ht="15" hidden="false" customHeight="false" outlineLevel="0" collapsed="false">
      <c r="B48" s="9" t="s">
        <v>893</v>
      </c>
      <c r="C48" s="162" t="n">
        <v>3779.119</v>
      </c>
      <c r="D48" s="78" t="n">
        <f aca="false">C48/C44-1</f>
        <v>0.129522468241214</v>
      </c>
      <c r="E48" s="162" t="n">
        <v>6245</v>
      </c>
      <c r="F48" s="78" t="n">
        <f aca="false">E48/E44-1</f>
        <v>0.100180556453532</v>
      </c>
      <c r="G48" s="163" t="s">
        <v>928</v>
      </c>
      <c r="H48" s="162" t="n">
        <v>7883</v>
      </c>
      <c r="I48" s="78" t="n">
        <f aca="false">H48/H44-1</f>
        <v>0.143789901334881</v>
      </c>
    </row>
    <row r="49" customFormat="false" ht="15" hidden="false" customHeight="false" outlineLevel="0" collapsed="false">
      <c r="B49" s="9" t="s">
        <v>894</v>
      </c>
      <c r="C49" s="162" t="n">
        <v>3144.586</v>
      </c>
      <c r="D49" s="78" t="n">
        <f aca="false">C49/C45-1</f>
        <v>0.0604684886418818</v>
      </c>
      <c r="E49" s="162" t="n">
        <v>5324</v>
      </c>
      <c r="F49" s="78" t="n">
        <f aca="false">E49/E45-1</f>
        <v>0.0579596560478568</v>
      </c>
      <c r="G49" s="163" t="s">
        <v>929</v>
      </c>
      <c r="H49" s="162" t="n">
        <v>6436</v>
      </c>
      <c r="I49" s="78" t="n">
        <f aca="false">H49/H45-1</f>
        <v>0.0807724601175484</v>
      </c>
    </row>
    <row r="50" customFormat="false" ht="15" hidden="false" customHeight="false" outlineLevel="0" collapsed="false">
      <c r="B50" s="9" t="s">
        <v>245</v>
      </c>
      <c r="C50" s="162" t="n">
        <v>3105.964</v>
      </c>
      <c r="D50" s="78" t="n">
        <f aca="false">C50/C46-1</f>
        <v>0.0148000467872025</v>
      </c>
      <c r="E50" s="162" t="n">
        <v>5496</v>
      </c>
      <c r="F50" s="78" t="n">
        <f aca="false">E50/E46-1</f>
        <v>0.034833364714743</v>
      </c>
      <c r="G50" s="163" t="s">
        <v>930</v>
      </c>
      <c r="H50" s="162" t="n">
        <v>6425</v>
      </c>
      <c r="I50" s="78" t="n">
        <f aca="false">H50/H46-1</f>
        <v>0.0581357048748352</v>
      </c>
    </row>
    <row r="51" customFormat="false" ht="15" hidden="false" customHeight="false" outlineLevel="0" collapsed="false">
      <c r="B51" s="9" t="s">
        <v>895</v>
      </c>
      <c r="C51" s="162" t="n">
        <v>3762.256</v>
      </c>
      <c r="D51" s="78" t="n">
        <f aca="false">C51/C47-1</f>
        <v>0.0365178236149639</v>
      </c>
      <c r="E51" s="162" t="n">
        <v>6334</v>
      </c>
      <c r="F51" s="78" t="n">
        <f aca="false">E51/E47-1</f>
        <v>0.0486754966887417</v>
      </c>
      <c r="G51" s="163" t="s">
        <v>931</v>
      </c>
      <c r="H51" s="162" t="n">
        <v>6853</v>
      </c>
      <c r="I51" s="78" t="n">
        <f aca="false">H51/H47-1</f>
        <v>0.0317675398976212</v>
      </c>
    </row>
    <row r="52" customFormat="false" ht="15" hidden="false" customHeight="false" outlineLevel="0" collapsed="false">
      <c r="B52" s="9" t="s">
        <v>896</v>
      </c>
      <c r="C52" s="162" t="n">
        <v>3833.775</v>
      </c>
      <c r="D52" s="78" t="n">
        <f aca="false">C52/C48-1</f>
        <v>0.0144626300468442</v>
      </c>
      <c r="E52" s="162" t="n">
        <v>6379</v>
      </c>
      <c r="F52" s="78" t="n">
        <f aca="false">E52/E48-1</f>
        <v>0.0214571657325862</v>
      </c>
      <c r="G52" s="163" t="s">
        <v>932</v>
      </c>
      <c r="H52" s="162" t="n">
        <v>8082</v>
      </c>
      <c r="I52" s="78" t="n">
        <f aca="false">H52/H48-1</f>
        <v>0.0252441963719396</v>
      </c>
    </row>
    <row r="53" customFormat="false" ht="15" hidden="false" customHeight="false" outlineLevel="0" collapsed="false">
      <c r="B53" s="9" t="s">
        <v>897</v>
      </c>
      <c r="C53" s="162" t="n">
        <v>3146.869</v>
      </c>
      <c r="D53" s="78" t="n">
        <f aca="false">C53/C49-1</f>
        <v>0.000726009719562493</v>
      </c>
      <c r="E53" s="162" t="n">
        <v>5604</v>
      </c>
      <c r="F53" s="78" t="n">
        <f aca="false">E53/E49-1</f>
        <v>0.0525920360631105</v>
      </c>
      <c r="G53" s="163" t="s">
        <v>933</v>
      </c>
      <c r="H53" s="162" t="n">
        <v>6691</v>
      </c>
      <c r="I53" s="78" t="n">
        <f aca="false">H53/H49-1</f>
        <v>0.0396208825357365</v>
      </c>
    </row>
    <row r="54" customFormat="false" ht="15" hidden="false" customHeight="false" outlineLevel="0" collapsed="false">
      <c r="B54" s="9" t="s">
        <v>246</v>
      </c>
      <c r="C54" s="162" t="n">
        <v>3200.593</v>
      </c>
      <c r="D54" s="78" t="n">
        <f aca="false">C54/C50-1</f>
        <v>0.0304668695451718</v>
      </c>
      <c r="E54" s="162" t="n">
        <v>5739</v>
      </c>
      <c r="F54" s="78" t="n">
        <f aca="false">E54/E50-1</f>
        <v>0.0442139737991267</v>
      </c>
      <c r="G54" s="163" t="s">
        <v>934</v>
      </c>
      <c r="H54" s="162" t="n">
        <v>6831</v>
      </c>
      <c r="I54" s="78" t="n">
        <f aca="false">H54/H50-1</f>
        <v>0.0631906614785993</v>
      </c>
    </row>
    <row r="55" customFormat="false" ht="15" hidden="false" customHeight="false" outlineLevel="0" collapsed="false">
      <c r="B55" s="9" t="s">
        <v>898</v>
      </c>
      <c r="C55" s="162" t="n">
        <v>3718.873</v>
      </c>
      <c r="D55" s="78" t="n">
        <f aca="false">C55/C51-1</f>
        <v>-0.0115311132469454</v>
      </c>
      <c r="E55" s="162" t="n">
        <v>6548</v>
      </c>
      <c r="F55" s="78" t="n">
        <f aca="false">E55/E51-1</f>
        <v>0.0337859172718662</v>
      </c>
      <c r="G55" s="163" t="s">
        <v>935</v>
      </c>
      <c r="H55" s="162" t="n">
        <v>7472</v>
      </c>
      <c r="I55" s="78" t="n">
        <f aca="false">H55/H51-1</f>
        <v>0.0903254049321465</v>
      </c>
    </row>
    <row r="56" customFormat="false" ht="15" hidden="false" customHeight="false" outlineLevel="0" collapsed="false">
      <c r="B56" s="9" t="s">
        <v>899</v>
      </c>
      <c r="C56" s="162" t="n">
        <v>3651.201</v>
      </c>
      <c r="D56" s="78" t="n">
        <f aca="false">C56/C52-1</f>
        <v>-0.0476225130582781</v>
      </c>
      <c r="E56" s="162" t="n">
        <v>6736</v>
      </c>
      <c r="F56" s="78" t="n">
        <f aca="false">E56/E52-1</f>
        <v>0.0559648847781784</v>
      </c>
      <c r="G56" s="163" t="s">
        <v>936</v>
      </c>
      <c r="H56" s="162" t="n">
        <v>8457</v>
      </c>
      <c r="I56" s="78" t="n">
        <f aca="false">H56/H52-1</f>
        <v>0.0463994060876021</v>
      </c>
    </row>
    <row r="57" customFormat="false" ht="15" hidden="false" customHeight="false" outlineLevel="0" collapsed="false">
      <c r="B57" s="9" t="s">
        <v>937</v>
      </c>
      <c r="G57" s="163" t="s">
        <v>938</v>
      </c>
      <c r="H57" s="162" t="n">
        <v>7129</v>
      </c>
      <c r="I57" s="78" t="n">
        <f aca="false">H57/H53-1</f>
        <v>0.0654610671050666</v>
      </c>
    </row>
    <row r="59" customFormat="false" ht="15" hidden="false" customHeight="false" outlineLevel="0" collapsed="false">
      <c r="B59" s="9" t="s">
        <v>939</v>
      </c>
      <c r="C59" s="100" t="n">
        <v>482</v>
      </c>
      <c r="D59" s="9" t="s">
        <v>940</v>
      </c>
      <c r="E59" s="100" t="n">
        <v>708.1</v>
      </c>
      <c r="F59" s="88" t="n">
        <f aca="false">C59/E59-1</f>
        <v>-0.319305182883774</v>
      </c>
    </row>
    <row r="61" customFormat="false" ht="15" hidden="false" customHeight="false" outlineLevel="0" collapsed="false">
      <c r="B61" s="4" t="s">
        <v>941</v>
      </c>
      <c r="C61" s="5"/>
      <c r="D61" s="5"/>
      <c r="E61" s="5"/>
      <c r="F61" s="5"/>
      <c r="G61" s="5"/>
      <c r="H61" s="5"/>
      <c r="I61" s="5"/>
      <c r="J61" s="5"/>
      <c r="K61" s="5"/>
    </row>
    <row r="62" customFormat="false" ht="15" hidden="false" customHeight="false" outlineLevel="0" collapsed="false">
      <c r="B62" s="9" t="s">
        <v>942</v>
      </c>
      <c r="C62" s="76" t="n">
        <f aca="false">C56</f>
        <v>3651.201</v>
      </c>
    </row>
    <row r="63" customFormat="false" ht="15" hidden="false" customHeight="false" outlineLevel="0" collapsed="false">
      <c r="B63" s="9" t="s">
        <v>943</v>
      </c>
      <c r="C63" s="76" t="n">
        <f aca="false">C53</f>
        <v>3146.869</v>
      </c>
    </row>
    <row r="64" customFormat="false" ht="15" hidden="false" customHeight="false" outlineLevel="0" collapsed="false">
      <c r="B64" s="9" t="s">
        <v>944</v>
      </c>
      <c r="C64" s="164" t="n">
        <f aca="false">C53/C52</f>
        <v>0.820827774191235</v>
      </c>
    </row>
    <row r="65" customFormat="false" ht="15" hidden="false" customHeight="false" outlineLevel="0" collapsed="false">
      <c r="B65" s="9" t="s">
        <v>945</v>
      </c>
      <c r="C65" s="164" t="n">
        <f aca="false">C49/C48</f>
        <v>0.832094993568607</v>
      </c>
    </row>
    <row r="66" customFormat="false" ht="15" hidden="false" customHeight="false" outlineLevel="0" collapsed="false">
      <c r="B66" s="9" t="s">
        <v>946</v>
      </c>
      <c r="C66" s="137" t="n">
        <f aca="false">C62*C64</f>
        <v>2997.00718995481</v>
      </c>
    </row>
    <row r="67" customFormat="false" ht="15" hidden="false" customHeight="false" outlineLevel="0" collapsed="false">
      <c r="B67" s="9" t="s">
        <v>947</v>
      </c>
      <c r="C67" s="81" t="n">
        <f aca="false">D55</f>
        <v>-0.0115311132469454</v>
      </c>
    </row>
    <row r="68" customFormat="false" ht="15" hidden="false" customHeight="false" outlineLevel="0" collapsed="false">
      <c r="B68" s="9"/>
      <c r="C68" s="81" t="n">
        <f aca="false">D56</f>
        <v>-0.0476225130582781</v>
      </c>
    </row>
    <row r="69" customFormat="false" ht="15" hidden="false" customHeight="false" outlineLevel="0" collapsed="false">
      <c r="B69" s="9" t="s">
        <v>948</v>
      </c>
      <c r="C69" s="137" t="n">
        <f aca="false">C63*(1+C68+(C68-C67))</f>
        <v>2883.43228272192</v>
      </c>
    </row>
    <row r="70" customFormat="false" ht="15" hidden="false" customHeight="false" outlineLevel="0" collapsed="false">
      <c r="B70" s="19" t="s">
        <v>949</v>
      </c>
      <c r="C70" s="77" t="n">
        <f aca="false">AVERAGE(C66,C69)</f>
        <v>2940.21973633837</v>
      </c>
    </row>
    <row r="71" customFormat="false" ht="15" hidden="false" customHeight="false" outlineLevel="0" collapsed="false">
      <c r="B71" s="19" t="s">
        <v>950</v>
      </c>
      <c r="C71" s="82" t="n">
        <f aca="false">C70/C63-1</f>
        <v>-0.0656682129639444</v>
      </c>
    </row>
    <row r="72" customFormat="false" ht="15" hidden="false" customHeight="false" outlineLevel="0" collapsed="false">
      <c r="B72" s="9" t="s">
        <v>951</v>
      </c>
      <c r="C72" s="138" t="n">
        <v>2970</v>
      </c>
    </row>
    <row r="73" customFormat="false" ht="15" hidden="false" customHeight="false" outlineLevel="0" collapsed="false">
      <c r="B73" s="9" t="s">
        <v>952</v>
      </c>
      <c r="C73" s="138" t="n">
        <v>3110</v>
      </c>
    </row>
    <row r="75" customFormat="false" ht="15" hidden="false" customHeight="false" outlineLevel="0" collapsed="false">
      <c r="B75" s="9" t="s">
        <v>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8" style="0" width="4"/>
  </cols>
  <sheetData>
    <row r="2" customFormat="false" ht="15" hidden="false" customHeight="false" outlineLevel="0" collapsed="false">
      <c r="B2" s="20" t="s">
        <v>954</v>
      </c>
      <c r="C2" s="20"/>
      <c r="D2" s="20"/>
      <c r="E2" s="20"/>
      <c r="F2" s="20"/>
      <c r="G2" s="20"/>
      <c r="H2" s="20"/>
      <c r="I2" s="20"/>
    </row>
    <row r="4" customFormat="false" ht="15" hidden="false" customHeight="false" outlineLevel="0" collapsed="false">
      <c r="B4" s="4" t="s">
        <v>955</v>
      </c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C5" s="130" t="s">
        <v>869</v>
      </c>
      <c r="D5" s="130" t="s">
        <v>799</v>
      </c>
      <c r="E5" s="130" t="s">
        <v>800</v>
      </c>
      <c r="F5" s="130" t="s">
        <v>956</v>
      </c>
    </row>
    <row r="6" customFormat="false" ht="15" hidden="false" customHeight="false" outlineLevel="0" collapsed="false">
      <c r="B6" s="9" t="s">
        <v>957</v>
      </c>
      <c r="C6" s="142" t="n">
        <v>-0.406</v>
      </c>
      <c r="D6" s="142" t="n">
        <v>-0.166</v>
      </c>
      <c r="E6" s="142" t="n">
        <v>-0.133</v>
      </c>
      <c r="F6" s="142" t="n">
        <v>0.63</v>
      </c>
    </row>
    <row r="8" customFormat="false" ht="15" hidden="false" customHeight="false" outlineLevel="0" collapsed="false">
      <c r="B8" s="4" t="s">
        <v>958</v>
      </c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B9" s="9" t="s">
        <v>959</v>
      </c>
      <c r="C9" s="101" t="n">
        <v>23.3</v>
      </c>
    </row>
    <row r="10" customFormat="false" ht="15" hidden="false" customHeight="false" outlineLevel="0" collapsed="false">
      <c r="B10" s="9" t="s">
        <v>960</v>
      </c>
      <c r="C10" s="101" t="n">
        <v>-14.2</v>
      </c>
    </row>
    <row r="11" customFormat="false" ht="15" hidden="false" customHeight="false" outlineLevel="0" collapsed="false">
      <c r="B11" s="9" t="s">
        <v>961</v>
      </c>
      <c r="C11" s="101" t="n">
        <v>-38.6</v>
      </c>
    </row>
    <row r="12" customFormat="false" ht="15" hidden="false" customHeight="false" outlineLevel="0" collapsed="false">
      <c r="B12" s="9" t="s">
        <v>962</v>
      </c>
      <c r="C12" s="101" t="n">
        <v>-25.1</v>
      </c>
    </row>
    <row r="13" customFormat="false" ht="15" hidden="false" customHeight="false" outlineLevel="0" collapsed="false">
      <c r="B13" s="19" t="s">
        <v>963</v>
      </c>
      <c r="C13" s="165" t="n">
        <f aca="false">SUM(C9:C12)</f>
        <v>-54.6</v>
      </c>
    </row>
    <row r="14" customFormat="false" ht="15" hidden="false" customHeight="false" outlineLevel="0" collapsed="false">
      <c r="B14" s="9" t="s">
        <v>964</v>
      </c>
      <c r="C14" s="11" t="n">
        <f aca="false">SUM(C9:C11)/C13</f>
        <v>0.54029304029304</v>
      </c>
    </row>
    <row r="15" customFormat="false" ht="15" hidden="false" customHeight="false" outlineLevel="0" collapsed="false">
      <c r="B15" s="9" t="s">
        <v>965</v>
      </c>
      <c r="C15" s="11" t="n">
        <f aca="false">C12/C13</f>
        <v>0.45970695970696</v>
      </c>
    </row>
    <row r="17" customFormat="false" ht="15" hidden="false" customHeight="false" outlineLevel="0" collapsed="false">
      <c r="B17" s="4" t="s">
        <v>966</v>
      </c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B18" s="19" t="s">
        <v>654</v>
      </c>
      <c r="C18" s="19" t="s">
        <v>967</v>
      </c>
      <c r="D18" s="19" t="s">
        <v>968</v>
      </c>
      <c r="E18" s="19" t="s">
        <v>969</v>
      </c>
    </row>
    <row r="19" customFormat="false" ht="15" hidden="false" customHeight="false" outlineLevel="0" collapsed="false">
      <c r="B19" s="9" t="s">
        <v>970</v>
      </c>
      <c r="C19" s="9" t="s">
        <v>971</v>
      </c>
      <c r="D19" s="166" t="n">
        <v>-7.1</v>
      </c>
      <c r="E19" s="166" t="n">
        <v>-1.3</v>
      </c>
    </row>
    <row r="20" customFormat="false" ht="15" hidden="false" customHeight="false" outlineLevel="0" collapsed="false">
      <c r="B20" s="9" t="s">
        <v>972</v>
      </c>
      <c r="C20" s="9" t="s">
        <v>973</v>
      </c>
      <c r="D20" s="166" t="n">
        <v>-4.3</v>
      </c>
    </row>
    <row r="21" customFormat="false" ht="15" hidden="false" customHeight="false" outlineLevel="0" collapsed="false">
      <c r="B21" s="9" t="s">
        <v>974</v>
      </c>
      <c r="C21" s="9" t="s">
        <v>975</v>
      </c>
      <c r="D21" s="166" t="n">
        <v>10.1</v>
      </c>
    </row>
    <row r="22" customFormat="false" ht="15" hidden="false" customHeight="false" outlineLevel="0" collapsed="false">
      <c r="B22" s="9" t="s">
        <v>976</v>
      </c>
      <c r="C22" s="9" t="s">
        <v>977</v>
      </c>
      <c r="D22" s="166" t="n">
        <v>-5.1</v>
      </c>
      <c r="E22" s="166" t="n">
        <v>-6</v>
      </c>
    </row>
    <row r="23" customFormat="false" ht="15" hidden="false" customHeight="false" outlineLevel="0" collapsed="false">
      <c r="B23" s="9" t="s">
        <v>978</v>
      </c>
      <c r="C23" s="9" t="s">
        <v>979</v>
      </c>
      <c r="D23" s="166" t="n">
        <v>-5.6</v>
      </c>
      <c r="E23" s="166" t="n">
        <v>-4.1</v>
      </c>
    </row>
    <row r="24" customFormat="false" ht="15" hidden="false" customHeight="false" outlineLevel="0" collapsed="false">
      <c r="B24" s="9" t="s">
        <v>980</v>
      </c>
      <c r="C24" s="9" t="s">
        <v>979</v>
      </c>
      <c r="D24" s="166" t="n">
        <v>-9.5</v>
      </c>
      <c r="E24" s="166" t="n">
        <v>-0.2</v>
      </c>
    </row>
    <row r="25" customFormat="false" ht="15" hidden="false" customHeight="false" outlineLevel="0" collapsed="false">
      <c r="B25" s="9" t="s">
        <v>981</v>
      </c>
      <c r="C25" s="9" t="s">
        <v>982</v>
      </c>
      <c r="D25" s="166" t="n">
        <v>-7</v>
      </c>
    </row>
    <row r="26" customFormat="false" ht="15" hidden="false" customHeight="false" outlineLevel="0" collapsed="false">
      <c r="B26" s="9" t="s">
        <v>983</v>
      </c>
      <c r="E26" s="167" t="n">
        <f aca="false">AVERAGE(E19,E22,E23,E24)</f>
        <v>-2.9</v>
      </c>
    </row>
    <row r="28" customFormat="false" ht="15" hidden="false" customHeight="false" outlineLevel="0" collapsed="false">
      <c r="B28" s="4" t="s">
        <v>984</v>
      </c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B29" s="9" t="s">
        <v>985</v>
      </c>
      <c r="C29" s="107" t="n">
        <v>-0.095</v>
      </c>
    </row>
    <row r="30" customFormat="false" ht="15" hidden="false" customHeight="false" outlineLevel="0" collapsed="false">
      <c r="B30" s="9" t="s">
        <v>986</v>
      </c>
      <c r="C30" s="107" t="n">
        <v>0.048</v>
      </c>
    </row>
    <row r="31" customFormat="false" ht="15" hidden="false" customHeight="false" outlineLevel="0" collapsed="false">
      <c r="B31" s="9" t="s">
        <v>987</v>
      </c>
      <c r="C31" s="107" t="n">
        <v>0.053</v>
      </c>
    </row>
    <row r="32" customFormat="false" ht="15" hidden="false" customHeight="false" outlineLevel="0" collapsed="false">
      <c r="B32" s="9" t="s">
        <v>988</v>
      </c>
      <c r="C32" s="107" t="n">
        <v>0.043</v>
      </c>
    </row>
    <row r="33" customFormat="false" ht="15" hidden="false" customHeight="false" outlineLevel="0" collapsed="false">
      <c r="B33" s="9" t="s">
        <v>989</v>
      </c>
      <c r="C33" s="107" t="n">
        <v>-0.376</v>
      </c>
    </row>
    <row r="34" customFormat="false" ht="15" hidden="false" customHeight="false" outlineLevel="0" collapsed="false">
      <c r="B34" s="9" t="s">
        <v>990</v>
      </c>
      <c r="C34" s="107" t="n">
        <v>0.482</v>
      </c>
    </row>
    <row r="35" customFormat="false" ht="15" hidden="false" customHeight="false" outlineLevel="0" collapsed="false">
      <c r="B35" s="9" t="s">
        <v>991</v>
      </c>
      <c r="C35" s="107" t="n">
        <v>0.3</v>
      </c>
    </row>
    <row r="36" customFormat="false" ht="15" hidden="false" customHeight="false" outlineLevel="0" collapsed="false">
      <c r="B36" s="9" t="s">
        <v>992</v>
      </c>
      <c r="C36" s="107" t="n">
        <v>0.222</v>
      </c>
    </row>
    <row r="37" customFormat="false" ht="15" hidden="false" customHeight="false" outlineLevel="0" collapsed="false">
      <c r="B37" s="9" t="s">
        <v>993</v>
      </c>
      <c r="C37" s="101" t="n">
        <v>75.6</v>
      </c>
    </row>
    <row r="38" customFormat="false" ht="15" hidden="false" customHeight="false" outlineLevel="0" collapsed="false">
      <c r="B38" s="9" t="s">
        <v>994</v>
      </c>
      <c r="C38" s="101" t="n">
        <v>88.9</v>
      </c>
    </row>
    <row r="39" customFormat="false" ht="15" hidden="false" customHeight="false" outlineLevel="0" collapsed="false">
      <c r="B39" s="9" t="s">
        <v>995</v>
      </c>
      <c r="C39" s="101" t="n">
        <v>69.9</v>
      </c>
    </row>
    <row r="41" customFormat="false" ht="15" hidden="false" customHeight="false" outlineLevel="0" collapsed="false">
      <c r="B41" s="4" t="s">
        <v>996</v>
      </c>
      <c r="C41" s="5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B42" s="19" t="s">
        <v>997</v>
      </c>
      <c r="C42" s="19" t="s">
        <v>998</v>
      </c>
      <c r="D42" s="19" t="s">
        <v>999</v>
      </c>
      <c r="E42" s="19" t="s">
        <v>1000</v>
      </c>
      <c r="F42" s="19" t="s">
        <v>1001</v>
      </c>
      <c r="G42" s="19" t="s">
        <v>1002</v>
      </c>
    </row>
    <row r="43" customFormat="false" ht="15" hidden="false" customHeight="false" outlineLevel="0" collapsed="false">
      <c r="B43" s="9" t="s">
        <v>1003</v>
      </c>
      <c r="C43" s="101" t="n">
        <v>35.26</v>
      </c>
      <c r="D43" s="107" t="n">
        <v>0.078</v>
      </c>
      <c r="E43" s="124" t="n">
        <v>1.51</v>
      </c>
    </row>
    <row r="44" customFormat="false" ht="15" hidden="false" customHeight="false" outlineLevel="0" collapsed="false">
      <c r="B44" s="9" t="s">
        <v>1004</v>
      </c>
      <c r="C44" s="101" t="n">
        <v>47.03</v>
      </c>
      <c r="D44" s="107" t="n">
        <v>0.104</v>
      </c>
      <c r="E44" s="124" t="n">
        <v>1.66</v>
      </c>
      <c r="F44" s="167" t="n">
        <f aca="false">C44-C43</f>
        <v>11.77</v>
      </c>
      <c r="G44" s="132" t="n">
        <v>20.92</v>
      </c>
    </row>
    <row r="45" customFormat="false" ht="15" hidden="false" customHeight="false" outlineLevel="0" collapsed="false">
      <c r="B45" s="9" t="s">
        <v>1005</v>
      </c>
      <c r="C45" s="101" t="n">
        <v>53.44</v>
      </c>
      <c r="D45" s="107" t="n">
        <v>0.117</v>
      </c>
      <c r="E45" s="124" t="n">
        <v>2.63</v>
      </c>
      <c r="F45" s="167" t="n">
        <f aca="false">C45-C44</f>
        <v>6.41</v>
      </c>
      <c r="G45" s="132" t="n">
        <v>19.39</v>
      </c>
    </row>
    <row r="46" customFormat="false" ht="15" hidden="false" customHeight="false" outlineLevel="0" collapsed="false">
      <c r="B46" s="9" t="s">
        <v>1006</v>
      </c>
      <c r="C46" s="101" t="n">
        <v>56.11</v>
      </c>
      <c r="D46" s="107" t="n">
        <v>0.123</v>
      </c>
      <c r="E46" s="124" t="n">
        <v>2.88</v>
      </c>
      <c r="F46" s="167" t="n">
        <f aca="false">C46-C45</f>
        <v>2.67</v>
      </c>
      <c r="G46" s="132" t="n">
        <v>19.79</v>
      </c>
    </row>
    <row r="47" customFormat="false" ht="15" hidden="false" customHeight="false" outlineLevel="0" collapsed="false">
      <c r="B47" s="9" t="s">
        <v>1007</v>
      </c>
      <c r="C47" s="101" t="n">
        <v>58.4</v>
      </c>
      <c r="D47" s="107" t="n">
        <v>0.128</v>
      </c>
      <c r="E47" s="124" t="n">
        <v>2.91</v>
      </c>
      <c r="F47" s="167" t="n">
        <f aca="false">C47-C46</f>
        <v>2.29</v>
      </c>
      <c r="G47" s="132" t="n">
        <v>19.14</v>
      </c>
    </row>
    <row r="48" customFormat="false" ht="15" hidden="false" customHeight="false" outlineLevel="0" collapsed="false">
      <c r="B48" s="9" t="s">
        <v>1008</v>
      </c>
      <c r="C48" s="101" t="n">
        <v>71.15</v>
      </c>
      <c r="D48" s="107" t="n">
        <v>0.156</v>
      </c>
      <c r="E48" s="124" t="n">
        <v>2.46</v>
      </c>
      <c r="F48" s="167" t="n">
        <f aca="false">C48-C47</f>
        <v>12.75</v>
      </c>
      <c r="G48" s="132" t="n">
        <v>16.94</v>
      </c>
    </row>
    <row r="49" customFormat="false" ht="15" hidden="false" customHeight="false" outlineLevel="0" collapsed="false">
      <c r="B49" s="9" t="s">
        <v>1009</v>
      </c>
      <c r="C49" s="101" t="n">
        <v>70.44</v>
      </c>
      <c r="D49" s="107" t="n">
        <v>0.154</v>
      </c>
      <c r="E49" s="124" t="n">
        <v>2.85</v>
      </c>
      <c r="F49" s="167" t="n">
        <f aca="false">C49-C48</f>
        <v>-0.710000000000008</v>
      </c>
      <c r="G49" s="132" t="n">
        <v>16.62</v>
      </c>
    </row>
    <row r="50" customFormat="false" ht="15" hidden="false" customHeight="false" outlineLevel="0" collapsed="false">
      <c r="B50" s="9" t="s">
        <v>1010</v>
      </c>
      <c r="C50" s="101" t="n">
        <v>83.3</v>
      </c>
      <c r="D50" s="107" t="n">
        <v>0.182</v>
      </c>
      <c r="E50" s="124" t="n">
        <v>4.1</v>
      </c>
      <c r="F50" s="167" t="n">
        <f aca="false">C50-C49</f>
        <v>12.86</v>
      </c>
      <c r="G50" s="132" t="n">
        <v>18.72</v>
      </c>
    </row>
    <row r="51" customFormat="false" ht="15" hidden="false" customHeight="false" outlineLevel="0" collapsed="false">
      <c r="B51" s="9" t="s">
        <v>1011</v>
      </c>
      <c r="C51" s="101" t="n">
        <v>84.53</v>
      </c>
      <c r="D51" s="107" t="n">
        <v>0.185</v>
      </c>
      <c r="E51" s="124" t="n">
        <v>4.2</v>
      </c>
      <c r="F51" s="167" t="n">
        <f aca="false">C51-C50</f>
        <v>1.23</v>
      </c>
      <c r="G51" s="132" t="n">
        <v>20.68</v>
      </c>
    </row>
    <row r="52" customFormat="false" ht="15" hidden="false" customHeight="false" outlineLevel="0" collapsed="false">
      <c r="B52" s="9" t="s">
        <v>1012</v>
      </c>
      <c r="C52" s="101" t="n">
        <v>81.74</v>
      </c>
      <c r="D52" s="107" t="n">
        <v>0.178</v>
      </c>
      <c r="E52" s="124" t="n">
        <v>6.05</v>
      </c>
      <c r="F52" s="167" t="n">
        <f aca="false">C52-C51</f>
        <v>-2.79000000000001</v>
      </c>
      <c r="G52" s="132" t="n">
        <v>19.66</v>
      </c>
    </row>
    <row r="53" customFormat="false" ht="15" hidden="false" customHeight="false" outlineLevel="0" collapsed="false">
      <c r="B53" s="9" t="s">
        <v>1013</v>
      </c>
      <c r="C53" s="101" t="n">
        <v>84.07</v>
      </c>
      <c r="D53" s="107" t="n">
        <v>0.184</v>
      </c>
      <c r="E53" s="124" t="n">
        <v>5.36</v>
      </c>
      <c r="F53" s="167" t="n">
        <f aca="false">C53-C52</f>
        <v>2.33</v>
      </c>
      <c r="G53" s="132" t="n">
        <v>19.57</v>
      </c>
    </row>
    <row r="54" customFormat="false" ht="15" hidden="false" customHeight="false" outlineLevel="0" collapsed="false">
      <c r="B54" s="9" t="s">
        <v>1014</v>
      </c>
      <c r="C54" s="101" t="n">
        <v>72.4</v>
      </c>
      <c r="D54" s="107" t="n">
        <v>0.158</v>
      </c>
      <c r="E54" s="124" t="n">
        <v>5.53</v>
      </c>
      <c r="F54" s="167" t="n">
        <f aca="false">C54-C53</f>
        <v>-11.67</v>
      </c>
      <c r="G54" s="132" t="n">
        <v>19.27</v>
      </c>
    </row>
    <row r="55" customFormat="false" ht="15" hidden="false" customHeight="false" outlineLevel="0" collapsed="false">
      <c r="B55" s="9" t="s">
        <v>1015</v>
      </c>
      <c r="C55" s="101" t="n">
        <v>86.45</v>
      </c>
      <c r="D55" s="107" t="n">
        <v>0.189</v>
      </c>
      <c r="E55" s="124" t="n">
        <v>6.04</v>
      </c>
      <c r="F55" s="167" t="n">
        <f aca="false">C55-C54</f>
        <v>14.05</v>
      </c>
      <c r="G55" s="132" t="n">
        <v>17.26</v>
      </c>
    </row>
    <row r="56" customFormat="false" ht="15" hidden="false" customHeight="false" outlineLevel="0" collapsed="false">
      <c r="B56" s="9" t="s">
        <v>1016</v>
      </c>
      <c r="C56" s="101" t="n">
        <v>94.99</v>
      </c>
      <c r="D56" s="107" t="n">
        <v>0.207</v>
      </c>
      <c r="E56" s="124" t="n">
        <v>5.73</v>
      </c>
      <c r="F56" s="167" t="n">
        <f aca="false">C56-C55</f>
        <v>8.53999999999999</v>
      </c>
      <c r="G56" s="132" t="n">
        <v>15.18</v>
      </c>
    </row>
    <row r="58" customFormat="false" ht="15" hidden="false" customHeight="false" outlineLevel="0" collapsed="false">
      <c r="B58" s="19" t="s">
        <v>1017</v>
      </c>
      <c r="G58" s="94" t="n">
        <f aca="false">SUMPRODUCT((F44:F56&gt;0)*F44:F56*G44:G56)/SUMPRODUCT((F44:F56&gt;0)*F44:F56)</f>
        <v>18.2521642189586</v>
      </c>
    </row>
    <row r="59" customFormat="false" ht="15" hidden="false" customHeight="false" outlineLevel="0" collapsed="false">
      <c r="B59" s="9" t="s">
        <v>1018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</cols>
  <sheetData>
    <row r="2" customFormat="false" ht="15" hidden="false" customHeight="false" outlineLevel="0" collapsed="false">
      <c r="B2" s="20" t="s">
        <v>1019</v>
      </c>
      <c r="C2" s="20"/>
      <c r="D2" s="20"/>
      <c r="E2" s="20"/>
      <c r="F2" s="20"/>
      <c r="G2" s="20"/>
      <c r="H2" s="20"/>
      <c r="I2" s="20"/>
      <c r="J2" s="20"/>
    </row>
    <row r="4" customFormat="false" ht="15" hidden="false" customHeight="false" outlineLevel="0" collapsed="false">
      <c r="B4" s="4" t="s">
        <v>873</v>
      </c>
      <c r="C4" s="75" t="s">
        <v>131</v>
      </c>
      <c r="D4" s="75" t="s">
        <v>1020</v>
      </c>
      <c r="E4" s="75" t="s">
        <v>1021</v>
      </c>
      <c r="F4" s="75" t="s">
        <v>1022</v>
      </c>
      <c r="G4" s="75" t="s">
        <v>1023</v>
      </c>
      <c r="H4" s="75" t="s">
        <v>1024</v>
      </c>
      <c r="I4" s="75" t="s">
        <v>373</v>
      </c>
    </row>
    <row r="5" customFormat="false" ht="15" hidden="false" customHeight="false" outlineLevel="0" collapsed="false">
      <c r="B5" s="9" t="s">
        <v>881</v>
      </c>
      <c r="C5" s="133" t="n">
        <v>42.53</v>
      </c>
      <c r="D5" s="168" t="n">
        <v>227.12</v>
      </c>
      <c r="E5" s="162" t="n">
        <v>6270.3</v>
      </c>
      <c r="F5" s="162" t="n">
        <v>1358</v>
      </c>
      <c r="G5" s="137" t="n">
        <f aca="false">C5*D5+E5</f>
        <v>15929.7136</v>
      </c>
      <c r="H5" s="169" t="n">
        <f aca="false">G5/F5</f>
        <v>11.7302751104566</v>
      </c>
      <c r="I5" s="142" t="n">
        <v>-0.0155</v>
      </c>
    </row>
    <row r="6" customFormat="false" ht="15" hidden="false" customHeight="false" outlineLevel="0" collapsed="false">
      <c r="B6" s="9" t="s">
        <v>882</v>
      </c>
      <c r="C6" s="133" t="n">
        <v>50.73</v>
      </c>
      <c r="D6" s="168" t="n">
        <v>227.47</v>
      </c>
      <c r="E6" s="162" t="n">
        <v>5956.2</v>
      </c>
      <c r="F6" s="162" t="n">
        <v>1364.3</v>
      </c>
      <c r="G6" s="137" t="n">
        <f aca="false">C6*D6+E6</f>
        <v>17495.7531</v>
      </c>
      <c r="H6" s="169" t="n">
        <f aca="false">G6/F6</f>
        <v>12.8239779374038</v>
      </c>
      <c r="I6" s="142" t="n">
        <v>0.0557</v>
      </c>
    </row>
    <row r="7" customFormat="false" ht="15" hidden="false" customHeight="false" outlineLevel="0" collapsed="false">
      <c r="B7" s="9" t="s">
        <v>883</v>
      </c>
      <c r="C7" s="133" t="n">
        <v>54.29</v>
      </c>
      <c r="D7" s="168" t="n">
        <v>227.93</v>
      </c>
      <c r="E7" s="162" t="n">
        <v>6464.4</v>
      </c>
      <c r="F7" s="162" t="n">
        <v>1430.9</v>
      </c>
      <c r="G7" s="137" t="n">
        <f aca="false">C7*D7+E7</f>
        <v>18838.7197</v>
      </c>
      <c r="H7" s="169" t="n">
        <f aca="false">G7/F7</f>
        <v>13.1656437906213</v>
      </c>
      <c r="I7" s="142" t="n">
        <v>0.081</v>
      </c>
    </row>
    <row r="8" customFormat="false" ht="15" hidden="false" customHeight="false" outlineLevel="0" collapsed="false">
      <c r="B8" s="9" t="s">
        <v>884</v>
      </c>
      <c r="C8" s="133" t="n">
        <v>54.05</v>
      </c>
      <c r="D8" s="168" t="n">
        <v>228.27</v>
      </c>
      <c r="E8" s="162" t="n">
        <v>6085.8</v>
      </c>
      <c r="F8" s="162" t="n">
        <v>1517.1</v>
      </c>
      <c r="G8" s="137" t="n">
        <f aca="false">C8*D8+E8</f>
        <v>18423.7935</v>
      </c>
      <c r="H8" s="169" t="n">
        <f aca="false">G8/F8</f>
        <v>12.1440864148705</v>
      </c>
      <c r="I8" s="142" t="n">
        <v>0.0304</v>
      </c>
    </row>
    <row r="9" customFormat="false" ht="15" hidden="false" customHeight="false" outlineLevel="0" collapsed="false">
      <c r="B9" s="9" t="s">
        <v>885</v>
      </c>
      <c r="C9" s="133" t="n">
        <v>53.25</v>
      </c>
      <c r="D9" s="168" t="n">
        <v>228.04</v>
      </c>
      <c r="E9" s="162" t="n">
        <v>6131.6</v>
      </c>
      <c r="F9" s="162" t="n">
        <v>1558.8</v>
      </c>
      <c r="G9" s="137" t="n">
        <f aca="false">C9*D9+E9</f>
        <v>18274.73</v>
      </c>
      <c r="H9" s="169" t="n">
        <f aca="false">G9/F9</f>
        <v>11.723588657942</v>
      </c>
      <c r="I9" s="142" t="n">
        <v>0.034</v>
      </c>
    </row>
    <row r="10" customFormat="false" ht="15" hidden="false" customHeight="false" outlineLevel="0" collapsed="false">
      <c r="B10" s="9" t="s">
        <v>886</v>
      </c>
      <c r="C10" s="133" t="n">
        <v>52.97</v>
      </c>
      <c r="D10" s="168" t="n">
        <v>227.34</v>
      </c>
      <c r="E10" s="162" t="n">
        <v>6050.7</v>
      </c>
      <c r="F10" s="162" t="n">
        <v>1618.1</v>
      </c>
      <c r="G10" s="137" t="n">
        <f aca="false">C10*D10+E10</f>
        <v>18092.8998</v>
      </c>
      <c r="H10" s="169" t="n">
        <f aca="false">G10/F10</f>
        <v>11.1815708547061</v>
      </c>
      <c r="I10" s="142" t="n">
        <v>0.0103</v>
      </c>
    </row>
    <row r="11" customFormat="false" ht="15" hidden="false" customHeight="false" outlineLevel="0" collapsed="false">
      <c r="B11" s="9" t="s">
        <v>887</v>
      </c>
      <c r="C11" s="133" t="n">
        <v>47.25</v>
      </c>
      <c r="D11" s="168" t="n">
        <v>223.31</v>
      </c>
      <c r="E11" s="162" t="n">
        <v>6624</v>
      </c>
      <c r="F11" s="162" t="n">
        <v>1652.8</v>
      </c>
      <c r="G11" s="137" t="n">
        <f aca="false">C11*D11+E11</f>
        <v>17175.3975</v>
      </c>
      <c r="H11" s="169" t="n">
        <f aca="false">G11/F11</f>
        <v>10.3916974225557</v>
      </c>
      <c r="I11" s="142" t="n">
        <v>0.0401</v>
      </c>
    </row>
    <row r="12" customFormat="false" ht="15" hidden="false" customHeight="false" outlineLevel="0" collapsed="false">
      <c r="B12" s="9" t="s">
        <v>888</v>
      </c>
      <c r="C12" s="133" t="n">
        <v>57.43</v>
      </c>
      <c r="D12" s="168" t="n">
        <v>221.51</v>
      </c>
      <c r="E12" s="162" t="n">
        <v>6268.7</v>
      </c>
      <c r="F12" s="162" t="n">
        <v>1735.4</v>
      </c>
      <c r="G12" s="137" t="n">
        <f aca="false">C12*D12+E12</f>
        <v>18990.0193</v>
      </c>
      <c r="H12" s="169" t="n">
        <f aca="false">G12/F12</f>
        <v>10.9427332603434</v>
      </c>
      <c r="I12" s="142" t="n">
        <v>0.0402</v>
      </c>
    </row>
    <row r="13" customFormat="false" ht="15" hidden="false" customHeight="false" outlineLevel="0" collapsed="false">
      <c r="B13" s="9" t="s">
        <v>889</v>
      </c>
      <c r="C13" s="133" t="n">
        <v>42.39</v>
      </c>
      <c r="D13" s="168" t="n">
        <v>223</v>
      </c>
      <c r="E13" s="162" t="n">
        <v>6328.2</v>
      </c>
      <c r="F13" s="162" t="n">
        <v>1780.1</v>
      </c>
      <c r="G13" s="137" t="n">
        <f aca="false">C13*D13+E13</f>
        <v>15781.17</v>
      </c>
      <c r="H13" s="169" t="n">
        <f aca="false">G13/F13</f>
        <v>8.86532779057356</v>
      </c>
      <c r="I13" s="142" t="n">
        <v>0.0466</v>
      </c>
    </row>
    <row r="14" customFormat="false" ht="15" hidden="false" customHeight="false" outlineLevel="0" collapsed="false">
      <c r="B14" s="9" t="s">
        <v>890</v>
      </c>
      <c r="C14" s="133" t="n">
        <v>54.96</v>
      </c>
      <c r="D14" s="168" t="n">
        <v>217.24</v>
      </c>
      <c r="E14" s="162" t="n">
        <v>6237.8</v>
      </c>
      <c r="F14" s="162" t="n">
        <v>1809.9</v>
      </c>
      <c r="G14" s="137" t="n">
        <f aca="false">C14*D14+E14</f>
        <v>18177.3104</v>
      </c>
      <c r="H14" s="169" t="n">
        <f aca="false">G14/F14</f>
        <v>10.0432678048511</v>
      </c>
      <c r="I14" s="142" t="n">
        <v>0.0409</v>
      </c>
    </row>
    <row r="15" customFormat="false" ht="15" hidden="false" customHeight="false" outlineLevel="0" collapsed="false">
      <c r="B15" s="9" t="s">
        <v>891</v>
      </c>
      <c r="C15" s="133" t="n">
        <v>53.63</v>
      </c>
      <c r="D15" s="168" t="n">
        <v>215.43</v>
      </c>
      <c r="E15" s="162" t="n">
        <v>5929.1</v>
      </c>
      <c r="F15" s="162" t="n">
        <v>1842</v>
      </c>
      <c r="G15" s="137" t="n">
        <f aca="false">C15*D15+E15</f>
        <v>17482.6109</v>
      </c>
      <c r="H15" s="169" t="n">
        <f aca="false">G15/F15</f>
        <v>9.49110255157438</v>
      </c>
      <c r="I15" s="142" t="n">
        <v>0.0576</v>
      </c>
    </row>
    <row r="16" customFormat="false" ht="15" hidden="false" customHeight="false" outlineLevel="0" collapsed="false">
      <c r="B16" s="9" t="s">
        <v>1025</v>
      </c>
      <c r="C16" s="133" t="n">
        <v>51.77</v>
      </c>
      <c r="D16" s="168" t="n">
        <v>214.21</v>
      </c>
      <c r="E16" s="162" t="n">
        <v>5870.5</v>
      </c>
      <c r="F16" s="162" t="n">
        <v>1815.9</v>
      </c>
      <c r="G16" s="137" t="n">
        <f aca="false">C16*D16+E16</f>
        <v>16960.1517</v>
      </c>
      <c r="H16" s="169" t="n">
        <f aca="false">G16/F16</f>
        <v>9.33980489013712</v>
      </c>
      <c r="I16" s="142" t="n">
        <v>0.0394</v>
      </c>
    </row>
    <row r="17" customFormat="false" ht="15" hidden="false" customHeight="false" outlineLevel="0" collapsed="false">
      <c r="B17" s="9" t="s">
        <v>1026</v>
      </c>
      <c r="C17" s="133" t="n">
        <v>58.41</v>
      </c>
      <c r="D17" s="168" t="n">
        <v>214.93</v>
      </c>
      <c r="E17" s="162" t="n">
        <v>6548.8</v>
      </c>
      <c r="F17" s="162" t="n">
        <v>1824.3</v>
      </c>
      <c r="G17" s="137" t="n">
        <f aca="false">C17*D17+E17</f>
        <v>19102.8613</v>
      </c>
      <c r="H17" s="169" t="n">
        <f aca="false">G17/F17</f>
        <v>10.4713376637614</v>
      </c>
      <c r="I17" s="142" t="n">
        <v>0.0177</v>
      </c>
    </row>
    <row r="18" customFormat="false" ht="15" hidden="false" customHeight="false" outlineLevel="0" collapsed="false">
      <c r="B18" s="9" t="s">
        <v>892</v>
      </c>
      <c r="C18" s="133" t="n">
        <v>20.93</v>
      </c>
      <c r="D18" s="168" t="n">
        <v>426.8</v>
      </c>
      <c r="E18" s="162" t="n">
        <v>13189.7</v>
      </c>
      <c r="F18" s="162" t="n">
        <v>1975.3</v>
      </c>
      <c r="G18" s="137" t="n">
        <f aca="false">C18*D18+E18</f>
        <v>22122.624</v>
      </c>
      <c r="H18" s="169" t="n">
        <f aca="false">G18/F18</f>
        <v>11.1996273983699</v>
      </c>
      <c r="I18" s="142" t="n">
        <v>0.1619</v>
      </c>
    </row>
    <row r="19" customFormat="false" ht="15" hidden="false" customHeight="false" outlineLevel="0" collapsed="false">
      <c r="B19" s="9" t="s">
        <v>893</v>
      </c>
      <c r="C19" s="133" t="n">
        <v>18.79</v>
      </c>
      <c r="D19" s="168" t="n">
        <v>434.81</v>
      </c>
      <c r="E19" s="162" t="n">
        <v>12844.5</v>
      </c>
      <c r="F19" s="162" t="n">
        <v>2069.6</v>
      </c>
      <c r="G19" s="137" t="n">
        <f aca="false">C19*D19+E19</f>
        <v>21014.5799</v>
      </c>
      <c r="H19" s="169" t="n">
        <f aca="false">G19/F19</f>
        <v>10.1539330788558</v>
      </c>
      <c r="I19" s="142" t="n">
        <v>0.063</v>
      </c>
    </row>
    <row r="20" customFormat="false" ht="15" hidden="false" customHeight="false" outlineLevel="0" collapsed="false">
      <c r="B20" s="9" t="s">
        <v>894</v>
      </c>
      <c r="C20" s="133" t="n">
        <v>20.51</v>
      </c>
      <c r="D20" s="168" t="n">
        <v>439.7</v>
      </c>
      <c r="E20" s="162" t="n">
        <v>13072.7</v>
      </c>
      <c r="F20" s="162" t="n">
        <v>2251.3</v>
      </c>
      <c r="G20" s="137" t="n">
        <f aca="false">C20*D20+E20</f>
        <v>22090.947</v>
      </c>
      <c r="H20" s="169" t="n">
        <f aca="false">G20/F20</f>
        <v>9.81252920534802</v>
      </c>
      <c r="I20" s="142" t="n">
        <v>0.0901</v>
      </c>
    </row>
    <row r="21" customFormat="false" ht="15" hidden="false" customHeight="false" outlineLevel="0" collapsed="false">
      <c r="B21" s="9" t="s">
        <v>245</v>
      </c>
      <c r="C21" s="133" t="n">
        <v>25.73</v>
      </c>
      <c r="D21" s="168" t="n">
        <v>435.28</v>
      </c>
      <c r="E21" s="162" t="n">
        <v>12909.7</v>
      </c>
      <c r="F21" s="162" t="n">
        <v>2356.1</v>
      </c>
      <c r="G21" s="137" t="n">
        <f aca="false">C21*D21+E21</f>
        <v>24109.4544</v>
      </c>
      <c r="H21" s="169" t="n">
        <f aca="false">G21/F21</f>
        <v>10.2327806120284</v>
      </c>
      <c r="I21" s="142" t="n">
        <v>0.09</v>
      </c>
    </row>
    <row r="22" customFormat="false" ht="15" hidden="false" customHeight="false" outlineLevel="0" collapsed="false">
      <c r="B22" s="9" t="s">
        <v>895</v>
      </c>
      <c r="C22" s="133" t="n">
        <v>18.96</v>
      </c>
      <c r="D22" s="168" t="n">
        <v>441.15</v>
      </c>
      <c r="E22" s="162" t="n">
        <v>13809.4</v>
      </c>
      <c r="F22" s="162" t="n">
        <v>2347.1</v>
      </c>
      <c r="G22" s="137" t="n">
        <f aca="false">C22*D22+E22</f>
        <v>22173.604</v>
      </c>
      <c r="H22" s="169" t="n">
        <f aca="false">G22/F22</f>
        <v>9.44723445954582</v>
      </c>
      <c r="I22" s="142" t="n">
        <v>0.0118</v>
      </c>
    </row>
    <row r="23" customFormat="false" ht="15" hidden="false" customHeight="false" outlineLevel="0" collapsed="false">
      <c r="B23" s="9" t="s">
        <v>896</v>
      </c>
      <c r="C23" s="133" t="n">
        <v>20.28</v>
      </c>
      <c r="D23" s="168" t="n">
        <v>446.59</v>
      </c>
      <c r="E23" s="162" t="n">
        <v>13579.4</v>
      </c>
      <c r="F23" s="162" t="n">
        <v>2450.7</v>
      </c>
      <c r="G23" s="137" t="n">
        <f aca="false">C23*D23+E23</f>
        <v>22636.2452</v>
      </c>
      <c r="H23" s="169" t="n">
        <f aca="false">G23/F23</f>
        <v>9.23664471375525</v>
      </c>
      <c r="I23" s="142" t="n">
        <v>0.0305</v>
      </c>
    </row>
    <row r="24" customFormat="false" ht="15" hidden="false" customHeight="false" outlineLevel="0" collapsed="false">
      <c r="B24" s="9" t="s">
        <v>897</v>
      </c>
      <c r="C24" s="133" t="n">
        <v>24.63</v>
      </c>
      <c r="D24" s="168" t="n">
        <v>451</v>
      </c>
      <c r="E24" s="162" t="n">
        <v>14354.7</v>
      </c>
      <c r="F24" s="162" t="n">
        <v>2541.3</v>
      </c>
      <c r="G24" s="137" t="n">
        <f aca="false">C24*D24+E24</f>
        <v>25462.83</v>
      </c>
      <c r="H24" s="169" t="n">
        <f aca="false">G24/F24</f>
        <v>10.0196080746075</v>
      </c>
      <c r="I24" s="142" t="n">
        <v>0.0149</v>
      </c>
    </row>
    <row r="25" customFormat="false" ht="15" hidden="false" customHeight="false" outlineLevel="0" collapsed="false">
      <c r="B25" s="9" t="s">
        <v>246</v>
      </c>
      <c r="C25" s="133" t="n">
        <v>22.32</v>
      </c>
      <c r="D25" s="168" t="n">
        <v>448.54</v>
      </c>
      <c r="E25" s="162" t="n">
        <v>14396.3</v>
      </c>
      <c r="F25" s="162" t="n">
        <v>2639.6</v>
      </c>
      <c r="G25" s="137" t="n">
        <f aca="false">C25*D25+E25</f>
        <v>24407.7128</v>
      </c>
      <c r="H25" s="169" t="n">
        <f aca="false">G25/F25</f>
        <v>9.24674677981512</v>
      </c>
      <c r="I25" s="142" t="n">
        <v>0.0381</v>
      </c>
    </row>
    <row r="26" customFormat="false" ht="15" hidden="false" customHeight="false" outlineLevel="0" collapsed="false">
      <c r="B26" s="9" t="s">
        <v>898</v>
      </c>
      <c r="C26" s="133" t="n">
        <v>18.7</v>
      </c>
      <c r="D26" s="168" t="n">
        <v>456.65</v>
      </c>
      <c r="E26" s="162" t="n">
        <v>14969.8</v>
      </c>
      <c r="F26" s="162" t="n">
        <v>2701</v>
      </c>
      <c r="G26" s="137" t="n">
        <f aca="false">C26*D26+E26</f>
        <v>23509.155</v>
      </c>
      <c r="H26" s="169" t="n">
        <f aca="false">G26/F26</f>
        <v>8.70387078859682</v>
      </c>
      <c r="I26" s="142" t="n">
        <v>-0.0101</v>
      </c>
    </row>
    <row r="27" customFormat="false" ht="15" hidden="false" customHeight="false" outlineLevel="0" collapsed="false">
      <c r="B27" s="9" t="s">
        <v>899</v>
      </c>
      <c r="C27" s="133" t="n">
        <v>21.11</v>
      </c>
      <c r="D27" s="168" t="n">
        <v>459.13</v>
      </c>
      <c r="E27" s="162" t="n">
        <v>14816.7</v>
      </c>
      <c r="F27" s="162" t="n">
        <v>2668</v>
      </c>
      <c r="G27" s="137" t="n">
        <f aca="false">C27*D27+E27</f>
        <v>24508.9343</v>
      </c>
      <c r="H27" s="169" t="n">
        <f aca="false">G27/F27</f>
        <v>9.18625723388306</v>
      </c>
      <c r="I27" s="142" t="n">
        <v>-0.026</v>
      </c>
    </row>
    <row r="29" customFormat="false" ht="15" hidden="false" customHeight="false" outlineLevel="0" collapsed="false">
      <c r="B29" s="4" t="s">
        <v>1027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9" t="s">
        <v>1028</v>
      </c>
      <c r="H30" s="160" t="n">
        <f aca="false">CORREL(H18:H27,I18:I27)</f>
        <v>0.865225701365262</v>
      </c>
      <c r="I30" s="170" t="n">
        <f aca="false">COUNT(I18:I27)</f>
        <v>10</v>
      </c>
    </row>
    <row r="31" customFormat="false" ht="15" hidden="false" customHeight="false" outlineLevel="0" collapsed="false">
      <c r="B31" s="9" t="s">
        <v>1029</v>
      </c>
      <c r="H31" s="160" t="n">
        <f aca="false">CORREL(H5:H17,I5:I17)</f>
        <v>0.0661386160978291</v>
      </c>
      <c r="I31" s="170" t="n">
        <f aca="false">COUNT(I5:I17)</f>
        <v>13</v>
      </c>
    </row>
    <row r="32" customFormat="false" ht="15" hidden="false" customHeight="false" outlineLevel="0" collapsed="false">
      <c r="B32" s="9" t="s">
        <v>1030</v>
      </c>
      <c r="H32" s="160" t="n">
        <f aca="false">CORREL(H5:H27,I5:I27)</f>
        <v>0.243983801256938</v>
      </c>
      <c r="I32" s="170" t="n">
        <f aca="false">COUNT(I5:I27)</f>
        <v>23</v>
      </c>
    </row>
    <row r="34" customFormat="false" ht="15" hidden="false" customHeight="false" outlineLevel="0" collapsed="false">
      <c r="B34" s="9" t="s">
        <v>1031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2" activeCellId="0" sqref="B12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4"/>
  </cols>
  <sheetData>
    <row r="2" customFormat="false" ht="15" hidden="false" customHeight="false" outlineLevel="0" collapsed="false">
      <c r="B2" s="20" t="s">
        <v>1032</v>
      </c>
      <c r="C2" s="20"/>
      <c r="D2" s="20"/>
      <c r="E2" s="20"/>
      <c r="F2" s="20"/>
      <c r="G2" s="20"/>
      <c r="H2" s="20"/>
    </row>
    <row r="4" customFormat="false" ht="15" hidden="false" customHeight="false" outlineLevel="0" collapsed="false">
      <c r="B4" s="4" t="s">
        <v>1033</v>
      </c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B5" s="9" t="s">
        <v>1034</v>
      </c>
      <c r="C5" s="142" t="n">
        <v>-0.145</v>
      </c>
    </row>
    <row r="6" customFormat="false" ht="15" hidden="false" customHeight="false" outlineLevel="0" collapsed="false">
      <c r="B6" s="9" t="s">
        <v>1035</v>
      </c>
      <c r="C6" s="142" t="n">
        <v>-0.01</v>
      </c>
    </row>
    <row r="7" customFormat="false" ht="15" hidden="false" customHeight="false" outlineLevel="0" collapsed="false">
      <c r="B7" s="9" t="s">
        <v>1036</v>
      </c>
      <c r="C7" s="142" t="n">
        <v>0</v>
      </c>
    </row>
    <row r="8" customFormat="false" ht="15" hidden="false" customHeight="false" outlineLevel="0" collapsed="false">
      <c r="B8" s="9" t="s">
        <v>1037</v>
      </c>
      <c r="C8" s="142" t="n">
        <v>-0.02</v>
      </c>
    </row>
    <row r="9" customFormat="false" ht="15" hidden="false" customHeight="false" outlineLevel="0" collapsed="false">
      <c r="B9" s="9" t="s">
        <v>1038</v>
      </c>
      <c r="C9" s="142" t="n">
        <v>-0.085</v>
      </c>
    </row>
    <row r="10" customFormat="false" ht="15" hidden="false" customHeight="false" outlineLevel="0" collapsed="false">
      <c r="B10" s="9" t="s">
        <v>1039</v>
      </c>
      <c r="C10" s="142" t="n">
        <v>-0.13</v>
      </c>
    </row>
    <row r="11" customFormat="false" ht="15" hidden="false" customHeight="false" outlineLevel="0" collapsed="false">
      <c r="B11" s="9" t="s">
        <v>1040</v>
      </c>
      <c r="C11" s="142" t="n">
        <v>-0.005</v>
      </c>
    </row>
    <row r="12" customFormat="false" ht="15" hidden="false" customHeight="false" outlineLevel="0" collapsed="false">
      <c r="B12" s="9" t="s">
        <v>1041</v>
      </c>
      <c r="C12" s="142" t="n">
        <v>-0.22</v>
      </c>
    </row>
    <row r="13" customFormat="false" ht="15" hidden="false" customHeight="false" outlineLevel="0" collapsed="false">
      <c r="B13" s="9" t="s">
        <v>1042</v>
      </c>
      <c r="C13" s="142" t="n">
        <v>-0.01</v>
      </c>
    </row>
    <row r="15" customFormat="false" ht="15" hidden="false" customHeight="false" outlineLevel="0" collapsed="false">
      <c r="B15" s="4" t="s">
        <v>1043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B16" s="19" t="s">
        <v>199</v>
      </c>
      <c r="C16" s="130" t="s">
        <v>1044</v>
      </c>
      <c r="D16" s="130" t="s">
        <v>1045</v>
      </c>
    </row>
    <row r="17" customFormat="false" ht="15" hidden="false" customHeight="false" outlineLevel="0" collapsed="false">
      <c r="B17" s="9" t="s">
        <v>1046</v>
      </c>
      <c r="C17" s="81" t="n">
        <f aca="false">Deposits!F20</f>
        <v>-0.0262439181128211</v>
      </c>
      <c r="D17" s="142" t="n">
        <v>0.09</v>
      </c>
    </row>
    <row r="18" customFormat="false" ht="15" hidden="false" customHeight="false" outlineLevel="0" collapsed="false">
      <c r="B18" s="9" t="s">
        <v>1047</v>
      </c>
      <c r="C18" s="81" t="n">
        <f aca="false">Deposits!F21</f>
        <v>-0.0386069398601197</v>
      </c>
      <c r="D18" s="142" t="n">
        <v>0.012</v>
      </c>
    </row>
    <row r="19" customFormat="false" ht="15" hidden="false" customHeight="false" outlineLevel="0" collapsed="false">
      <c r="B19" s="9" t="s">
        <v>1048</v>
      </c>
      <c r="C19" s="81" t="n">
        <f aca="false">Deposits!F22</f>
        <v>-0.0662826516169136</v>
      </c>
      <c r="D19" s="142" t="n">
        <v>0.031</v>
      </c>
    </row>
    <row r="20" customFormat="false" ht="15" hidden="false" customHeight="false" outlineLevel="0" collapsed="false">
      <c r="B20" s="9" t="s">
        <v>1049</v>
      </c>
      <c r="C20" s="81" t="n">
        <f aca="false">Deposits!F23</f>
        <v>-0.0776899670277922</v>
      </c>
      <c r="D20" s="142" t="n">
        <v>0.015</v>
      </c>
    </row>
    <row r="21" customFormat="false" ht="15" hidden="false" customHeight="false" outlineLevel="0" collapsed="false">
      <c r="B21" s="9" t="s">
        <v>1050</v>
      </c>
      <c r="C21" s="81" t="n">
        <f aca="false">Deposits!F24</f>
        <v>-0.0408365700981417</v>
      </c>
      <c r="D21" s="142" t="n">
        <v>0.038</v>
      </c>
    </row>
    <row r="22" customFormat="false" ht="15" hidden="false" customHeight="false" outlineLevel="0" collapsed="false">
      <c r="B22" s="9" t="s">
        <v>1051</v>
      </c>
      <c r="C22" s="81" t="n">
        <f aca="false">Deposits!F25</f>
        <v>-0.0607179099389187</v>
      </c>
      <c r="D22" s="142" t="n">
        <v>-0.01</v>
      </c>
    </row>
    <row r="23" customFormat="false" ht="15" hidden="false" customHeight="false" outlineLevel="0" collapsed="false">
      <c r="B23" s="9" t="s">
        <v>1052</v>
      </c>
      <c r="C23" s="81" t="n">
        <f aca="false">Deposits!F26</f>
        <v>-0.0825145380544259</v>
      </c>
      <c r="D23" s="142" t="n">
        <v>-0.026</v>
      </c>
    </row>
    <row r="24" customFormat="false" ht="15" hidden="false" customHeight="false" outlineLevel="0" collapsed="false">
      <c r="B24" s="9" t="s">
        <v>1053</v>
      </c>
      <c r="D24" s="142" t="n">
        <v>-0.089</v>
      </c>
    </row>
    <row r="25" customFormat="false" ht="15" hidden="false" customHeight="false" outlineLevel="0" collapsed="false">
      <c r="B25" s="9" t="s">
        <v>1054</v>
      </c>
      <c r="D25" s="142" t="n">
        <v>-0.065</v>
      </c>
    </row>
    <row r="27" customFormat="false" ht="15" hidden="false" customHeight="false" outlineLevel="0" collapsed="false">
      <c r="B27" s="4" t="s">
        <v>1055</v>
      </c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B28" s="9" t="s">
        <v>1056</v>
      </c>
    </row>
    <row r="29" customFormat="false" ht="15" hidden="false" customHeight="false" outlineLevel="0" collapsed="false">
      <c r="B29" s="9" t="s">
        <v>1057</v>
      </c>
      <c r="C29" s="171" t="n">
        <v>100</v>
      </c>
    </row>
    <row r="30" customFormat="false" ht="15" hidden="false" customHeight="false" outlineLevel="0" collapsed="false">
      <c r="B30" s="9" t="s">
        <v>1058</v>
      </c>
      <c r="C30" s="171" t="n">
        <v>75.5</v>
      </c>
    </row>
    <row r="31" customFormat="false" ht="15" hidden="false" customHeight="false" outlineLevel="0" collapsed="false">
      <c r="B31" s="9" t="s">
        <v>1059</v>
      </c>
      <c r="C31" s="171" t="n">
        <v>88.9</v>
      </c>
    </row>
    <row r="32" customFormat="false" ht="15" hidden="false" customHeight="false" outlineLevel="0" collapsed="false">
      <c r="B32" s="9" t="s">
        <v>1060</v>
      </c>
      <c r="C32" s="171" t="n">
        <v>77.7</v>
      </c>
    </row>
    <row r="33" customFormat="false" ht="15" hidden="false" customHeight="false" outlineLevel="0" collapsed="false">
      <c r="B33" s="9" t="s">
        <v>1061</v>
      </c>
      <c r="C33" s="171" t="n">
        <v>69.9</v>
      </c>
    </row>
    <row r="36" customFormat="false" ht="15" hidden="false" customHeight="false" outlineLevel="0" collapsed="false">
      <c r="B36" s="19" t="s">
        <v>1062</v>
      </c>
    </row>
    <row r="37" customFormat="false" ht="15" hidden="false" customHeight="false" outlineLevel="0" collapsed="false">
      <c r="C37" s="23" t="s">
        <v>66</v>
      </c>
      <c r="D37" s="23" t="s">
        <v>67</v>
      </c>
      <c r="E37" s="23" t="s">
        <v>68</v>
      </c>
      <c r="F37" s="23" t="s">
        <v>69</v>
      </c>
      <c r="G37" s="23" t="s">
        <v>70</v>
      </c>
      <c r="H37" s="23" t="s">
        <v>71</v>
      </c>
    </row>
    <row r="38" customFormat="false" ht="15" hidden="false" customHeight="false" outlineLevel="0" collapsed="false">
      <c r="B38" s="9" t="s">
        <v>1063</v>
      </c>
      <c r="C38" s="24" t="n">
        <f aca="false">'Net Yield Build'!L24</f>
        <v>-0.0995</v>
      </c>
      <c r="D38" s="24" t="n">
        <f aca="false">'Net Yield Build'!M24</f>
        <v>-0.0603</v>
      </c>
      <c r="E38" s="24" t="n">
        <f aca="false">'Net Yield Build'!N24</f>
        <v>-0.0135598341696066</v>
      </c>
      <c r="F38" s="24" t="n">
        <f aca="false">'Net Yield Build'!O24</f>
        <v>-0.00806176649017699</v>
      </c>
      <c r="G38" s="24" t="n">
        <f aca="false">'Net Yield Build'!P24</f>
        <v>0.00390929026708935</v>
      </c>
      <c r="H38" s="24" t="n">
        <f aca="false">'Net Yield Build'!Q24</f>
        <v>0.00296992558935462</v>
      </c>
    </row>
    <row r="39" customFormat="false" ht="15" hidden="false" customHeight="false" outlineLevel="0" collapsed="false">
      <c r="B39" s="9" t="s">
        <v>1064</v>
      </c>
      <c r="C39" s="24" t="n">
        <f aca="false">'Net Yield Build'!L51</f>
        <v>-0.1055</v>
      </c>
      <c r="D39" s="24" t="n">
        <f aca="false">'Net Yield Build'!M51</f>
        <v>-0.0762</v>
      </c>
      <c r="E39" s="24" t="n">
        <f aca="false">'Net Yield Build'!N51</f>
        <v>-0.0284077015052919</v>
      </c>
      <c r="F39" s="24" t="n">
        <f aca="false">'Net Yield Build'!O51</f>
        <v>-0.0237358862783894</v>
      </c>
      <c r="G39" s="24" t="n">
        <f aca="false">'Net Yield Build'!P51</f>
        <v>-0.00441507412535205</v>
      </c>
      <c r="H39" s="24" t="n">
        <f aca="false">'Net Yield Build'!Q51</f>
        <v>-0.00766945205172049</v>
      </c>
    </row>
    <row r="40" customFormat="false" ht="15" hidden="false" customHeight="false" outlineLevel="0" collapsed="false">
      <c r="B40" s="9" t="s">
        <v>1065</v>
      </c>
      <c r="C40" s="28" t="n">
        <f aca="false">'Net Yield Build'!L13</f>
        <v>-2.4</v>
      </c>
      <c r="D40" s="28" t="n">
        <f aca="false">'Net Yield Build'!M13</f>
        <v>-2.8</v>
      </c>
      <c r="E40" s="28" t="n">
        <f aca="false">'Net Yield Build'!N13</f>
        <v>-1</v>
      </c>
      <c r="F40" s="28" t="n">
        <f aca="false">'Net Yield Build'!O13</f>
        <v>0.5</v>
      </c>
      <c r="G40" s="28" t="n">
        <f aca="false">'Net Yield Build'!P13</f>
        <v>1.5</v>
      </c>
      <c r="H40" s="28" t="n">
        <f aca="false">'Net Yield Build'!Q13</f>
        <v>2</v>
      </c>
    </row>
    <row r="41" customFormat="false" ht="15" hidden="false" customHeight="false" outlineLevel="0" collapsed="false">
      <c r="B41" s="9" t="s">
        <v>1066</v>
      </c>
      <c r="C41" s="28" t="n">
        <f aca="false">'Net Yield Build'!L40</f>
        <v>-2.4</v>
      </c>
      <c r="D41" s="28" t="n">
        <f aca="false">'Net Yield Build'!M40</f>
        <v>-2.8</v>
      </c>
      <c r="E41" s="28" t="n">
        <f aca="false">'Net Yield Build'!N40</f>
        <v>-2</v>
      </c>
      <c r="F41" s="28" t="n">
        <f aca="false">'Net Yield Build'!O40</f>
        <v>-0.5</v>
      </c>
      <c r="G41" s="28" t="n">
        <f aca="false">'Net Yield Build'!P40</f>
        <v>0.5</v>
      </c>
      <c r="H41" s="28" t="n">
        <f aca="false">'Net Yield Build'!Q40</f>
        <v>1</v>
      </c>
    </row>
    <row r="43" customFormat="false" ht="15" hidden="false" customHeight="false" outlineLevel="0" collapsed="false">
      <c r="B43" s="19" t="s">
        <v>1067</v>
      </c>
    </row>
    <row r="44" customFormat="false" ht="15" hidden="false" customHeight="false" outlineLevel="0" collapsed="false">
      <c r="B44" s="9" t="s">
        <v>1068</v>
      </c>
      <c r="C44" s="10" t="n">
        <f aca="false">'Operating Model'!G52</f>
        <v>2730.226</v>
      </c>
    </row>
    <row r="45" customFormat="false" ht="15" hidden="false" customHeight="false" outlineLevel="0" collapsed="false">
      <c r="B45" s="9" t="s">
        <v>1069</v>
      </c>
      <c r="C45" s="10" t="n">
        <f aca="false">Consensus!C44</f>
        <v>2950</v>
      </c>
    </row>
    <row r="46" customFormat="false" ht="15" hidden="false" customHeight="false" outlineLevel="0" collapsed="false">
      <c r="B46" s="9" t="s">
        <v>1070</v>
      </c>
      <c r="C46" s="10" t="n">
        <f aca="false">DCF!E31</f>
        <v>3038.972855</v>
      </c>
    </row>
    <row r="47" customFormat="false" ht="15" hidden="false" customHeight="false" outlineLevel="0" collapsed="false">
      <c r="B47" s="9" t="s">
        <v>1071</v>
      </c>
      <c r="C47" s="10" t="n">
        <f aca="false">Consensus!C67</f>
        <v>2912.60590143209</v>
      </c>
    </row>
    <row r="48" customFormat="false" ht="15" hidden="false" customHeight="false" outlineLevel="0" collapsed="false">
      <c r="B48" s="9" t="s">
        <v>1072</v>
      </c>
      <c r="C48" s="10" t="n">
        <f aca="false">Consensus!C57</f>
        <v>2693.22</v>
      </c>
    </row>
    <row r="49" customFormat="false" ht="15" hidden="false" customHeight="false" outlineLevel="0" collapsed="false">
      <c r="B49" s="9" t="s">
        <v>1073</v>
      </c>
      <c r="C49" s="10" t="n">
        <f aca="false">'Operating Model'!I52</f>
        <v>2472.38906149484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2026-10-03T01:29:25Z</dcterms:created>
  <dc:creator>openpyxl</dc:creator>
  <dc:description/>
  <dc:language>en-US</dc:language>
  <cp:lastModifiedBy>Nguyen, Vinh</cp:lastModifiedBy>
  <dcterms:modified xsi:type="dcterms:W3CDTF">2026-10-03T03:02:46Z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